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ocuments\FST-TAMU\NextEra Energy\Pipeline Engineering\Latest Project\"/>
    </mc:Choice>
  </mc:AlternateContent>
  <xr:revisionPtr revIDLastSave="0" documentId="13_ncr:1_{310FB073-91E7-4393-9EC4-196A70B05966}" xr6:coauthVersionLast="41" xr6:coauthVersionMax="41" xr10:uidLastSave="{00000000-0000-0000-0000-000000000000}"/>
  <bookViews>
    <workbookView xWindow="-120" yWindow="-120" windowWidth="29040" windowHeight="15840" tabRatio="878" activeTab="2" xr2:uid="{00000000-000D-0000-FFFF-FFFF00000000}"/>
  </bookViews>
  <sheets>
    <sheet name="Cal-Gas Properties Source" sheetId="2" r:id="rId1"/>
    <sheet name="Cal-Pipeline Requirements" sheetId="3" r:id="rId2"/>
    <sheet name="Cal-Compressor Requirements" sheetId="4" r:id="rId3"/>
    <sheet name="Cal-Blending" sheetId="5" r:id="rId4"/>
  </sheets>
  <definedNames>
    <definedName name="alist">#REF!</definedName>
    <definedName name="blist">#REF!</definedName>
    <definedName name="DropDownListCell8_EquipMat">#REF!:INDEX(#REF!,COUNTIF(#REF!,"?*"))</definedName>
    <definedName name="DropDownListCell8_Labor">#REF!:INDEX(#REF!,COUNTIF(#REF!,"?*"))</definedName>
    <definedName name="DropDownListCell8_PipesFittings">#REF!:INDEX(#REF!,COUNTIF(#REF!,"?*"))</definedName>
    <definedName name="DropDownListCell8_Services">#REF!:INDEX(#REF!,COUNTIF(#REF!,"?*"))</definedName>
    <definedName name="DropDownListCell9_EquipMat">#REF!:INDEX(#REF!,COUNTIF(#REF!,"?*"))</definedName>
    <definedName name="DropDownListCell9_Labor">#REF!:INDEX(#REF!,COUNTIF(#REF!,"?*"))</definedName>
    <definedName name="DropDownListCell9_PipesFittings">#REF!:INDEX(#REF!,COUNTIF(#REF!,"?*"))</definedName>
    <definedName name="DropDownListCell9_Services">#REF!:INDEX(#REF!,COUNTIF(#REF!,"?*"))</definedName>
    <definedName name="sixteen">#REF!</definedName>
    <definedName name="ThreeInchPipe">#REF!</definedName>
    <definedName name="ThreeInchPipeDescriptn">#REF!</definedName>
    <definedName name="ThreeInchPipeGrade">#REF!</definedName>
    <definedName name="ThreeInchPipeSize">#REF!</definedName>
    <definedName name="ThreeInchPipeThick">#REF!</definedName>
    <definedName name="TwentyInch">#REF!</definedName>
    <definedName name="TwoInchPipe">#REF!</definedName>
    <definedName name="TwoInchPipeDescriptn">#REF!</definedName>
    <definedName name="TwoInchPipeGrade">#REF!</definedName>
    <definedName name="TwoInchPipeSize">#REF!</definedName>
    <definedName name="TwoIncPipeThic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4" i="4" l="1"/>
  <c r="F35" i="4"/>
  <c r="F37" i="4"/>
  <c r="F38" i="4"/>
  <c r="F39" i="4"/>
  <c r="F40" i="4"/>
  <c r="F42" i="4"/>
  <c r="F43" i="4"/>
  <c r="F44" i="4"/>
  <c r="F33" i="4"/>
  <c r="D13" i="4" l="1"/>
  <c r="D19" i="4"/>
  <c r="G12" i="2" l="1"/>
  <c r="D14" i="5" l="1" a="1"/>
  <c r="D15" i="5" s="1"/>
  <c r="D19" i="5" l="1"/>
  <c r="D22" i="5"/>
  <c r="D31" i="5"/>
  <c r="D23" i="5"/>
  <c r="D30" i="5"/>
  <c r="D14" i="5"/>
  <c r="D29" i="5"/>
  <c r="D21" i="5"/>
  <c r="D28" i="5"/>
  <c r="D20" i="5"/>
  <c r="D27" i="5"/>
  <c r="D34" i="5"/>
  <c r="D26" i="5"/>
  <c r="D18" i="5"/>
  <c r="D33" i="5"/>
  <c r="D25" i="5"/>
  <c r="D17" i="5"/>
  <c r="D32" i="5"/>
  <c r="D24" i="5"/>
  <c r="D16" i="5"/>
  <c r="T34" i="5" l="1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L34" i="4" l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K34" i="4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J34" i="4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I34" i="4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H34" i="4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G13" i="2" l="1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Oluwafemi Oyedokun</author>
  </authors>
  <commentList>
    <comment ref="N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Provided the maximum internal pressure, pipe grade are known.</t>
        </r>
      </text>
    </comment>
    <comment ref="T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Note that the pipe is assumed to be made of steel.</t>
        </r>
      </text>
    </comment>
    <comment ref="D1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The Z-factor can be determined from Tab Gas Properties Source or from Blending Mixture, depending on the segment of interest.</t>
        </r>
      </text>
    </comment>
    <comment ref="H1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This is the theoretical pipeline segment capacity at standard conditions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The net pipeline capacity after deducting gas consumption at the Compressor and Heating Stations, and measurement errors at the Metering Stations</t>
        </r>
      </text>
    </comment>
    <comment ref="H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This is the available capacity for stable deliveries. It accounts for operational disturbances.</t>
        </r>
      </text>
    </comment>
    <comment ref="H1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It accounts for hold backs  for certain periods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Oluwafemi Oyedokun</author>
  </authors>
  <commentList>
    <comment ref="H1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Note that only one compressor is not balanced; the closest to the end of the segment, downstream.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Oluwafemi Oyedokun</author>
  </authors>
  <commentList>
    <comment ref="BA1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The user can add more tributaries.</t>
        </r>
      </text>
    </comment>
    <comment ref="C1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The computation is hard-coded. Thus, the user gets the resultant gas composition after computing the volume fractions of the tributaries.</t>
        </r>
      </text>
    </comment>
    <comment ref="K4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Note that you can add more tributaries below or input zero flow rate into any of the cells in case the tributaries are less than three.</t>
        </r>
      </text>
    </comment>
    <comment ref="L72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Oluwafemi Oyedokun:</t>
        </r>
        <r>
          <rPr>
            <sz val="9"/>
            <color indexed="81"/>
            <rFont val="Tahoma"/>
            <family val="2"/>
          </rPr>
          <t xml:space="preserve">
Ensure to include inputs from additional/inserted cells</t>
        </r>
      </text>
    </comment>
  </commentList>
</comments>
</file>

<file path=xl/sharedStrings.xml><?xml version="1.0" encoding="utf-8"?>
<sst xmlns="http://schemas.openxmlformats.org/spreadsheetml/2006/main" count="386" uniqueCount="256">
  <si>
    <t>Gas Component</t>
  </si>
  <si>
    <t>Molecular Weight</t>
  </si>
  <si>
    <t>Specific Heat, Btu/lb/F</t>
  </si>
  <si>
    <t>Temperature, degF</t>
  </si>
  <si>
    <t>Pressure, psia</t>
  </si>
  <si>
    <t>Inputs</t>
  </si>
  <si>
    <t>Component's Critical Constants</t>
  </si>
  <si>
    <t>Heating Values</t>
  </si>
  <si>
    <t>LHV, Btu/scf</t>
  </si>
  <si>
    <t>HHV, Btu/scf</t>
  </si>
  <si>
    <t>Outputs</t>
  </si>
  <si>
    <t>Gas Compressibility Factor</t>
  </si>
  <si>
    <t>Operating Conditions</t>
  </si>
  <si>
    <t>Line-Segment Average Pressure, psia</t>
  </si>
  <si>
    <t>Line-Segment Average Temperature, deg F</t>
  </si>
  <si>
    <t>Gas Specific Gravity</t>
  </si>
  <si>
    <t>Gas Viscosity, cp</t>
  </si>
  <si>
    <t>Value</t>
  </si>
  <si>
    <t>Description</t>
  </si>
  <si>
    <t>C1</t>
  </si>
  <si>
    <t>C2</t>
  </si>
  <si>
    <t>C3</t>
  </si>
  <si>
    <t>I-C4</t>
  </si>
  <si>
    <t>N-C4</t>
  </si>
  <si>
    <t>I-C5</t>
  </si>
  <si>
    <t>N-C5</t>
  </si>
  <si>
    <t>Neo-C5</t>
  </si>
  <si>
    <t>C6</t>
  </si>
  <si>
    <t>C7</t>
  </si>
  <si>
    <t>C8</t>
  </si>
  <si>
    <t>C9</t>
  </si>
  <si>
    <t>C10+</t>
  </si>
  <si>
    <t>CO2</t>
  </si>
  <si>
    <t>N2</t>
  </si>
  <si>
    <t>O2</t>
  </si>
  <si>
    <t>H2</t>
  </si>
  <si>
    <t>He</t>
  </si>
  <si>
    <t>Ar</t>
  </si>
  <si>
    <t>H2S</t>
  </si>
  <si>
    <t>H2O</t>
  </si>
  <si>
    <t xml:space="preserve">Mole Percent </t>
  </si>
  <si>
    <t>Gas Specific Heat, Btu/lb/F</t>
  </si>
  <si>
    <t>Temperature (Calculated), deg R</t>
  </si>
  <si>
    <t>Average Molecular Weight of the gas,</t>
  </si>
  <si>
    <t>Gas Heating Value (Gross) , Btu/scf</t>
  </si>
  <si>
    <t>Gas Heating Value (Net) , Btu/scf</t>
  </si>
  <si>
    <t>Segment Length, ft</t>
  </si>
  <si>
    <t>Pipe Internal Diameter, inch</t>
  </si>
  <si>
    <t>Pipe Wall Thickness, inch</t>
  </si>
  <si>
    <t>Temperature at Standard Condition, deg F</t>
  </si>
  <si>
    <t>Pressure at Standard Condition, psia</t>
  </si>
  <si>
    <t>Upstream Pressure, psia</t>
  </si>
  <si>
    <t>Downstream Pressure, psia</t>
  </si>
  <si>
    <t>Upstream Temperature, deg F</t>
  </si>
  <si>
    <t>Downstream Temperature, deg F</t>
  </si>
  <si>
    <t>Output</t>
  </si>
  <si>
    <t>Total Gas Consumption at Compressor Stations Along the Line-Segment, MMSCFD</t>
  </si>
  <si>
    <t>Total Gas Consumption at Heating Stations Along the Line-Segment, MMSCFD</t>
  </si>
  <si>
    <t>Available Technical Capacity, MMSCF</t>
  </si>
  <si>
    <t>Maximum Hydraulic Capacity, MMSCF</t>
  </si>
  <si>
    <t>Committable Capacity, MMSCF</t>
  </si>
  <si>
    <t>Bookable Capacity, MMSCF</t>
  </si>
  <si>
    <t>Pipe Specifications</t>
  </si>
  <si>
    <t>Constraints</t>
  </si>
  <si>
    <t>Operational Flexibility, %</t>
  </si>
  <si>
    <t>Total Running time of the heating stations along the line-segment, Days</t>
  </si>
  <si>
    <t>Total Running time of the compressor stations along the line-segment, Days</t>
  </si>
  <si>
    <t>LINE-PACK CALCULATIONS</t>
  </si>
  <si>
    <t>Pipeline Hold-Back, MMSCF</t>
  </si>
  <si>
    <t>Maximum Operating Internal Pressure, psig</t>
  </si>
  <si>
    <t>Pipe Internal Diameter, Inch</t>
  </si>
  <si>
    <t>Pipe Specified Minimum Yield Strength, psig</t>
  </si>
  <si>
    <t>Design Factor,</t>
  </si>
  <si>
    <t>Seam Joint Factor</t>
  </si>
  <si>
    <t>Temperature Deration Factor</t>
  </si>
  <si>
    <t>Design Factors for Steel Pipe</t>
  </si>
  <si>
    <t>MAOP</t>
  </si>
  <si>
    <t>Class 1 Location</t>
  </si>
  <si>
    <t>Class 2 Location</t>
  </si>
  <si>
    <t>Class 3 Location</t>
  </si>
  <si>
    <t>Class 4 Location</t>
  </si>
  <si>
    <t>Hydrotest Pressure</t>
  </si>
  <si>
    <t>100% Hydrotest, psig</t>
  </si>
  <si>
    <t>Look-Up Information</t>
  </si>
  <si>
    <t>Pipe Seam Joint Factors</t>
  </si>
  <si>
    <t>Specification</t>
  </si>
  <si>
    <t>Pipe Class</t>
  </si>
  <si>
    <t>ASTM A53</t>
  </si>
  <si>
    <t>ASTM A106</t>
  </si>
  <si>
    <t>ASTM A134</t>
  </si>
  <si>
    <t>ASTM A135</t>
  </si>
  <si>
    <t>ASTM A139</t>
  </si>
  <si>
    <t>ASTM A211</t>
  </si>
  <si>
    <t>ASTM A333</t>
  </si>
  <si>
    <t>ASTM A381</t>
  </si>
  <si>
    <t>ASTM A 671</t>
  </si>
  <si>
    <t>ASTM A672</t>
  </si>
  <si>
    <t>ASTM A691</t>
  </si>
  <si>
    <t>AP1 5L</t>
  </si>
  <si>
    <t>API 5LX</t>
  </si>
  <si>
    <t>API 5LS</t>
  </si>
  <si>
    <t>Seamless</t>
  </si>
  <si>
    <t>Electric Resistance Welded</t>
  </si>
  <si>
    <t>Furnace Lap Welded</t>
  </si>
  <si>
    <t>Furnace Butt Welded</t>
  </si>
  <si>
    <t>Electric Fusion Arc Welded</t>
  </si>
  <si>
    <t>Electric Fusion Welded</t>
  </si>
  <si>
    <t>Spiral Welded Pipe</t>
  </si>
  <si>
    <t>Welded</t>
  </si>
  <si>
    <t>Double Submerged Arc Welded</t>
  </si>
  <si>
    <t>Electric Flash Welded</t>
  </si>
  <si>
    <t>Submerged Arc Welded</t>
  </si>
  <si>
    <t>Class Location</t>
  </si>
  <si>
    <t>Deration Factor</t>
  </si>
  <si>
    <t>Temperature, deg F</t>
  </si>
  <si>
    <t>Temperaturre, deg C</t>
  </si>
  <si>
    <t>250 &lt;</t>
  </si>
  <si>
    <t>121&lt;</t>
  </si>
  <si>
    <t>Average Compressibility Factor</t>
  </si>
  <si>
    <t>Total Measurement Error from Meters along the Line Segment, %</t>
  </si>
  <si>
    <t>Temperature Deration Factors, TF</t>
  </si>
  <si>
    <t>Seam Joint Factor, EF</t>
  </si>
  <si>
    <t>Design Factor, FF</t>
  </si>
  <si>
    <t>Pipe Wall Thickness, Inch</t>
  </si>
  <si>
    <t>Pipe Unit Air Weight, lb/ft</t>
  </si>
  <si>
    <t>PIPE-WALL THICKNESS AND UNIT WEIGHT  CALCULATIONS</t>
  </si>
  <si>
    <t>Pipe Thickness, inch</t>
  </si>
  <si>
    <t>95% Hydrotest, psig</t>
  </si>
  <si>
    <t>Location 1</t>
  </si>
  <si>
    <t xml:space="preserve">Location 2 </t>
  </si>
  <si>
    <t>Location 3</t>
  </si>
  <si>
    <t>Location 4</t>
  </si>
  <si>
    <t>HYDROSTATIC TEST PRESSURES</t>
  </si>
  <si>
    <t>90%  Hydrotest, psig</t>
  </si>
  <si>
    <t>Pipe Specified Minimum Yield Strength, psi</t>
  </si>
  <si>
    <t>General Information</t>
  </si>
  <si>
    <t>Compressor Type</t>
  </si>
  <si>
    <t>Model</t>
  </si>
  <si>
    <t xml:space="preserve">Pipe Internal Diameter </t>
  </si>
  <si>
    <t>Length of Line Segment, ft</t>
  </si>
  <si>
    <t>Expected Pressure at Delivery Point or End of Segment, psia</t>
  </si>
  <si>
    <t>Number  of Compressors</t>
  </si>
  <si>
    <t>Gas Flow Rate, MMSCFD</t>
  </si>
  <si>
    <t>Transmission Factor</t>
  </si>
  <si>
    <t>Pipe MAOP, psia</t>
  </si>
  <si>
    <t>Suction Pressure at Hydraulically Balanced Compressor, psia</t>
  </si>
  <si>
    <t>Total Compression Ratio</t>
  </si>
  <si>
    <t>Total Horsepower Required, hp</t>
  </si>
  <si>
    <t>Ratio of specific heat capacties, gam</t>
  </si>
  <si>
    <t>Booster Spacing (Hydraulically Balanced), ft</t>
  </si>
  <si>
    <t>Location</t>
  </si>
  <si>
    <t>Compression Ratio</t>
  </si>
  <si>
    <t>Internal Diameter, Inch</t>
  </si>
  <si>
    <t>Outputs for Balanced Configuration</t>
  </si>
  <si>
    <t>Flow Rate, MMSCFD</t>
  </si>
  <si>
    <t>Spacing, ft</t>
  </si>
  <si>
    <t>Horse Power, hp</t>
  </si>
  <si>
    <t>Polytropic/Adiabatic Index</t>
  </si>
  <si>
    <t>Resultant Gas Specific Gracity</t>
  </si>
  <si>
    <t>MOP, psia</t>
  </si>
  <si>
    <t>Base Temperature, deg F</t>
  </si>
  <si>
    <t>Base Pressure, psia</t>
  </si>
  <si>
    <t>Suction Pressure, psia</t>
  </si>
  <si>
    <t>Disscharge Temperature, deg F</t>
  </si>
  <si>
    <t>Booster Spacing btw Balanced and Unbalanced  , ft</t>
  </si>
  <si>
    <t>N/A</t>
  </si>
  <si>
    <t>Number of Compressors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</si>
  <si>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</si>
  <si>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</si>
  <si>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</si>
  <si>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</si>
  <si>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</si>
  <si>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</si>
  <si>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</si>
  <si>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</si>
  <si>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</si>
  <si>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</si>
  <si>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</si>
  <si>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</si>
  <si>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 xml:space="preserve">Mole Percent, Main Source </t>
  </si>
  <si>
    <t xml:space="preserve">Mole Percent, Tributary-1 </t>
  </si>
  <si>
    <t>Mole Percent, Tributary-2</t>
  </si>
  <si>
    <t xml:space="preserve">Mole Percent, Tributary-3 </t>
  </si>
  <si>
    <t>Pipe</t>
  </si>
  <si>
    <t>Mainbore</t>
  </si>
  <si>
    <t>Tributary-1</t>
  </si>
  <si>
    <t>Tributary-2</t>
  </si>
  <si>
    <t>Tributary-3</t>
  </si>
  <si>
    <t>Resultant Gas Composition</t>
  </si>
  <si>
    <t>Volumetric Fraction</t>
  </si>
  <si>
    <t xml:space="preserve">Total </t>
  </si>
  <si>
    <t>Number of Tributaries</t>
  </si>
  <si>
    <t>Input Section</t>
  </si>
  <si>
    <t>Output Section</t>
  </si>
  <si>
    <t>Tributary-4</t>
  </si>
  <si>
    <t>Tributary-5</t>
  </si>
  <si>
    <t xml:space="preserve">Mole Percent, Tributary-4 </t>
  </si>
  <si>
    <t>Tributary-6</t>
  </si>
  <si>
    <t>Tributary-7</t>
  </si>
  <si>
    <t>Tributary-8</t>
  </si>
  <si>
    <t>Tributary-9</t>
  </si>
  <si>
    <t>Tributary-10</t>
  </si>
  <si>
    <t>Tributary-11</t>
  </si>
  <si>
    <t>Tributary-12</t>
  </si>
  <si>
    <t>Tributary-13</t>
  </si>
  <si>
    <t>Tributary-14</t>
  </si>
  <si>
    <t>Tributary-15</t>
  </si>
  <si>
    <t>Tributary-16</t>
  </si>
  <si>
    <t>Tributary-17</t>
  </si>
  <si>
    <t>Tributary-18</t>
  </si>
  <si>
    <t>Tributary-19</t>
  </si>
  <si>
    <t>Tributary-20</t>
  </si>
  <si>
    <t>Tributary-21</t>
  </si>
  <si>
    <t>Tributary-22</t>
  </si>
  <si>
    <t>Tributary-23</t>
  </si>
  <si>
    <t>Tributary-24</t>
  </si>
  <si>
    <t>Tributary-25</t>
  </si>
  <si>
    <t>Tributary-26</t>
  </si>
  <si>
    <t>Tributary-27</t>
  </si>
  <si>
    <t>Tributary-28</t>
  </si>
  <si>
    <t>Tributary-29</t>
  </si>
  <si>
    <t xml:space="preserve">Mole Percent, Tributary-5 </t>
  </si>
  <si>
    <t xml:space="preserve">Mole Percent, Tributary-6 </t>
  </si>
  <si>
    <t>Mole Percent, Tributary-7</t>
  </si>
  <si>
    <t>Mole Percent, Tributary-8</t>
  </si>
  <si>
    <t>Mole Percent, Tributary-9</t>
  </si>
  <si>
    <t>Mole Percent, Tributary-10</t>
  </si>
  <si>
    <t>Mole Percent, Tributary-11</t>
  </si>
  <si>
    <t>Mole Percent, Tributary-12</t>
  </si>
  <si>
    <t>Mole Percent, Tributary-13</t>
  </si>
  <si>
    <t>Mole Percent, Tributary-14</t>
  </si>
  <si>
    <t>Mole Percent, Tributary-15</t>
  </si>
  <si>
    <t>Mole Percent, Tributary-16</t>
  </si>
  <si>
    <t>Mole Percent, Tributary-17</t>
  </si>
  <si>
    <t>Mole Percent, Tributary-18</t>
  </si>
  <si>
    <t>Mole Percent, Tributary-19</t>
  </si>
  <si>
    <t>Mole Percent, Tributary-20</t>
  </si>
  <si>
    <t>Mole Percent, Tributary-21</t>
  </si>
  <si>
    <t>Mole Percent, Tributary-22</t>
  </si>
  <si>
    <t>Mole Percent, Tributary-23</t>
  </si>
  <si>
    <t>Mole Percent, Tributary-24</t>
  </si>
  <si>
    <t>Mole Percent, Tributary-25</t>
  </si>
  <si>
    <t>Mole Percent, Tributary-26</t>
  </si>
  <si>
    <t>Mole Percent, Tributary-27</t>
  </si>
  <si>
    <t>Mole Percent, Tributary-28</t>
  </si>
  <si>
    <t>Mole Percent, Tributary-29</t>
  </si>
  <si>
    <t>Delivery Temperature at Balanced Compressor, deg F</t>
  </si>
  <si>
    <t>Hydraulically Unbalanced Configuration/ Generic Computation Table</t>
  </si>
  <si>
    <t>Delivery Temperature at Unbalanced Compressor, deg F</t>
  </si>
  <si>
    <t>Compression Ratio of Hydraulically Unbalanced Compressor</t>
  </si>
  <si>
    <t>Gas Temperature at End of Segment, deg R</t>
  </si>
  <si>
    <t>Temperature Downstream of Cooler @ Hydraulically Balanced Compressor, deg R</t>
  </si>
  <si>
    <t>Suction Temperature at Unbalanced Compressor, deg R</t>
  </si>
  <si>
    <t>Suction temperature at Hydraulically balanced compressor, deg R</t>
  </si>
  <si>
    <t>Temperature at Standard Condition, deg R</t>
  </si>
  <si>
    <t>Suction Temperature, deg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</si>
</sst>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1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b/>
      <sz val="1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0" xfId="0" applyBorder="1"/>
    <xf numFmtId="0" fontId="0" fillId="0" borderId="12" xfId="0" applyBorder="1"/>
    <xf numFmtId="0" fontId="3" fillId="0" borderId="7" xfId="0" applyFont="1" applyBorder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0" fillId="0" borderId="13" xfId="0" applyBorder="1"/>
    <xf numFmtId="0" fontId="0" fillId="0" borderId="0" xfId="0" applyBorder="1" applyAlignment="1">
      <alignment wrapText="1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4" xfId="0" applyBorder="1"/>
    <xf numFmtId="0" fontId="0" fillId="0" borderId="31" xfId="0" applyBorder="1" applyAlignment="1">
      <alignment vertical="top" wrapText="1"/>
    </xf>
    <xf numFmtId="0" fontId="0" fillId="0" borderId="31" xfId="0" applyBorder="1"/>
    <xf numFmtId="0" fontId="0" fillId="0" borderId="3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2" xfId="0" applyBorder="1"/>
    <xf numFmtId="0" fontId="0" fillId="0" borderId="32" xfId="0" applyBorder="1" applyAlignment="1">
      <alignment wrapText="1"/>
    </xf>
    <xf numFmtId="0" fontId="0" fillId="0" borderId="39" xfId="0" applyBorder="1"/>
    <xf numFmtId="0" fontId="0" fillId="0" borderId="43" xfId="0" applyBorder="1"/>
    <xf numFmtId="0" fontId="0" fillId="0" borderId="33" xfId="0" applyBorder="1"/>
    <xf numFmtId="0" fontId="0" fillId="0" borderId="42" xfId="0" applyBorder="1"/>
    <xf numFmtId="0" fontId="0" fillId="0" borderId="31" xfId="0" applyBorder="1" applyAlignment="1">
      <alignment wrapText="1"/>
    </xf>
    <xf numFmtId="0" fontId="0" fillId="0" borderId="38" xfId="0" applyBorder="1"/>
    <xf numFmtId="0" fontId="0" fillId="0" borderId="38" xfId="0" applyBorder="1" applyAlignment="1">
      <alignment horizontal="left" vertical="top" wrapText="1"/>
    </xf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48" xfId="0" applyBorder="1"/>
    <xf numFmtId="0" fontId="0" fillId="0" borderId="0" xfId="0" applyAlignment="1">
      <alignment wrapText="1"/>
    </xf>
    <xf numFmtId="0" fontId="0" fillId="0" borderId="0" xfId="0" applyFill="1"/>
    <xf numFmtId="0" fontId="2" fillId="0" borderId="0" xfId="0" applyFont="1" applyBorder="1" applyAlignment="1">
      <alignment vertical="top" wrapText="1"/>
    </xf>
    <xf numFmtId="0" fontId="0" fillId="0" borderId="52" xfId="0" applyBorder="1"/>
    <xf numFmtId="0" fontId="0" fillId="0" borderId="2" xfId="0" applyBorder="1"/>
    <xf numFmtId="0" fontId="0" fillId="0" borderId="28" xfId="0" applyBorder="1"/>
    <xf numFmtId="0" fontId="0" fillId="0" borderId="53" xfId="0" applyFill="1" applyBorder="1"/>
    <xf numFmtId="0" fontId="0" fillId="0" borderId="26" xfId="0" applyBorder="1"/>
    <xf numFmtId="0" fontId="0" fillId="0" borderId="54" xfId="0" applyFill="1" applyBorder="1"/>
    <xf numFmtId="0" fontId="0" fillId="0" borderId="55" xfId="0" applyBorder="1"/>
    <xf numFmtId="0" fontId="0" fillId="0" borderId="34" xfId="0" applyBorder="1"/>
    <xf numFmtId="0" fontId="1" fillId="0" borderId="0" xfId="0" applyFont="1" applyBorder="1" applyAlignment="1">
      <alignment wrapText="1"/>
    </xf>
    <xf numFmtId="0" fontId="0" fillId="0" borderId="31" xfId="0" applyFill="1" applyBorder="1"/>
    <xf numFmtId="0" fontId="0" fillId="0" borderId="38" xfId="0" applyFill="1" applyBorder="1"/>
    <xf numFmtId="0" fontId="2" fillId="0" borderId="31" xfId="0" applyFont="1" applyBorder="1" applyAlignment="1">
      <alignment wrapText="1"/>
    </xf>
    <xf numFmtId="0" fontId="0" fillId="0" borderId="39" xfId="0" applyBorder="1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Border="1" applyAlignment="1">
      <alignment horizontal="center" wrapText="1"/>
    </xf>
    <xf numFmtId="0" fontId="1" fillId="0" borderId="53" xfId="0" applyFont="1" applyBorder="1" applyAlignment="1">
      <alignment wrapText="1"/>
    </xf>
    <xf numFmtId="0" fontId="1" fillId="0" borderId="41" xfId="0" applyFont="1" applyBorder="1" applyAlignment="1">
      <alignment wrapText="1"/>
    </xf>
    <xf numFmtId="0" fontId="1" fillId="0" borderId="0" xfId="0" applyFont="1" applyFill="1" applyBorder="1" applyAlignment="1">
      <alignment horizontal="center"/>
    </xf>
    <xf numFmtId="0" fontId="2" fillId="0" borderId="38" xfId="0" applyFont="1" applyFill="1" applyBorder="1" applyAlignment="1"/>
    <xf numFmtId="0" fontId="1" fillId="0" borderId="62" xfId="0" applyFont="1" applyBorder="1" applyAlignment="1">
      <alignment wrapText="1"/>
    </xf>
    <xf numFmtId="0" fontId="0" fillId="0" borderId="62" xfId="0" applyBorder="1" applyAlignment="1">
      <alignment wrapText="1"/>
    </xf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3" fillId="0" borderId="53" xfId="0" applyFont="1" applyFill="1" applyBorder="1" applyAlignment="1">
      <alignment horizontal="center" wrapText="1"/>
    </xf>
    <xf numFmtId="0" fontId="3" fillId="0" borderId="41" xfId="0" applyFont="1" applyFill="1" applyBorder="1" applyAlignment="1">
      <alignment horizontal="center" wrapText="1"/>
    </xf>
    <xf numFmtId="0" fontId="0" fillId="0" borderId="67" xfId="0" applyBorder="1"/>
    <xf numFmtId="0" fontId="0" fillId="0" borderId="68" xfId="0" applyBorder="1"/>
    <xf numFmtId="0" fontId="1" fillId="0" borderId="67" xfId="0" applyFont="1" applyBorder="1" applyAlignment="1">
      <alignment wrapText="1"/>
    </xf>
    <xf numFmtId="0" fontId="0" fillId="0" borderId="67" xfId="0" applyBorder="1" applyAlignment="1">
      <alignment wrapText="1"/>
    </xf>
    <xf numFmtId="0" fontId="0" fillId="0" borderId="71" xfId="0" applyBorder="1"/>
    <xf numFmtId="0" fontId="0" fillId="0" borderId="72" xfId="0" applyBorder="1"/>
    <xf numFmtId="0" fontId="0" fillId="0" borderId="53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5" xfId="0" applyFill="1" applyBorder="1" applyAlignment="1">
      <alignment horizontal="center" wrapText="1"/>
    </xf>
    <xf numFmtId="0" fontId="0" fillId="0" borderId="4" xfId="0" applyFill="1" applyBorder="1" applyAlignment="1">
      <alignment horizontal="center" vertical="top" wrapText="1"/>
    </xf>
    <xf numFmtId="0" fontId="0" fillId="0" borderId="26" xfId="0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0" xfId="0" applyProtection="1">
      <protection locked="0"/>
    </xf>
    <xf numFmtId="0" fontId="0" fillId="0" borderId="14" xfId="0" applyBorder="1" applyProtection="1">
      <protection locked="0"/>
    </xf>
    <xf numFmtId="0" fontId="4" fillId="0" borderId="15" xfId="0" applyFont="1" applyBorder="1" applyAlignment="1" applyProtection="1">
      <alignment horizontal="center"/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0" xfId="0" applyBorder="1" applyProtection="1">
      <protection locked="0"/>
    </xf>
    <xf numFmtId="0" fontId="0" fillId="0" borderId="3" xfId="0" applyBorder="1" applyProtection="1">
      <protection locked="0"/>
    </xf>
    <xf numFmtId="0" fontId="6" fillId="0" borderId="0" xfId="0" applyFont="1" applyBorder="1" applyProtection="1">
      <protection locked="0"/>
    </xf>
    <xf numFmtId="0" fontId="0" fillId="0" borderId="42" xfId="0" applyBorder="1" applyAlignment="1" applyProtection="1">
      <alignment vertical="top" wrapText="1"/>
      <protection locked="0"/>
    </xf>
    <xf numFmtId="0" fontId="0" fillId="0" borderId="43" xfId="0" applyBorder="1" applyAlignment="1" applyProtection="1">
      <alignment wrapText="1"/>
      <protection locked="0"/>
    </xf>
    <xf numFmtId="0" fontId="0" fillId="0" borderId="31" xfId="0" applyBorder="1" applyAlignment="1" applyProtection="1">
      <alignment vertical="top"/>
      <protection locked="0"/>
    </xf>
    <xf numFmtId="0" fontId="0" fillId="0" borderId="32" xfId="0" applyBorder="1" applyProtection="1">
      <protection locked="0"/>
    </xf>
    <xf numFmtId="0" fontId="0" fillId="0" borderId="31" xfId="0" applyBorder="1" applyAlignment="1" applyProtection="1">
      <alignment vertical="top" wrapText="1"/>
      <protection locked="0"/>
    </xf>
    <xf numFmtId="0" fontId="0" fillId="0" borderId="32" xfId="0" applyBorder="1" applyAlignment="1" applyProtection="1">
      <alignment wrapText="1"/>
      <protection locked="0"/>
    </xf>
    <xf numFmtId="0" fontId="0" fillId="0" borderId="38" xfId="0" applyBorder="1" applyAlignment="1" applyProtection="1">
      <alignment wrapText="1"/>
      <protection locked="0"/>
    </xf>
    <xf numFmtId="0" fontId="0" fillId="0" borderId="39" xfId="0" applyBorder="1" applyProtection="1">
      <protection locked="0"/>
    </xf>
    <xf numFmtId="0" fontId="0" fillId="0" borderId="31" xfId="0" applyFill="1" applyBorder="1" applyAlignment="1" applyProtection="1">
      <alignment vertical="top" wrapText="1"/>
      <protection locked="0"/>
    </xf>
    <xf numFmtId="0" fontId="0" fillId="0" borderId="38" xfId="0" applyBorder="1" applyAlignment="1" applyProtection="1">
      <alignment vertical="top" wrapText="1"/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43" xfId="0" applyBorder="1" applyProtection="1">
      <protection locked="0"/>
    </xf>
    <xf numFmtId="0" fontId="6" fillId="0" borderId="42" xfId="0" applyFont="1" applyBorder="1" applyAlignment="1" applyProtection="1">
      <alignment horizontal="center" vertical="center"/>
      <protection locked="0"/>
    </xf>
    <xf numFmtId="0" fontId="6" fillId="0" borderId="43" xfId="0" applyFont="1" applyBorder="1" applyAlignment="1" applyProtection="1">
      <alignment horizontal="center" vertical="center"/>
      <protection locked="0"/>
    </xf>
    <xf numFmtId="0" fontId="0" fillId="0" borderId="22" xfId="0" applyBorder="1" applyProtection="1">
      <protection locked="0"/>
    </xf>
    <xf numFmtId="0" fontId="0" fillId="0" borderId="3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38" xfId="0" applyFill="1" applyBorder="1" applyAlignment="1" applyProtection="1">
      <alignment vertical="top" wrapText="1"/>
      <protection locked="0"/>
    </xf>
    <xf numFmtId="0" fontId="0" fillId="0" borderId="31" xfId="0" applyBorder="1" applyAlignment="1" applyProtection="1">
      <alignment vertical="center"/>
      <protection locked="0"/>
    </xf>
    <xf numFmtId="0" fontId="0" fillId="0" borderId="39" xfId="0" applyFill="1" applyBorder="1" applyProtection="1">
      <protection locked="0"/>
    </xf>
    <xf numFmtId="0" fontId="0" fillId="0" borderId="31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31" xfId="0" applyFill="1" applyBorder="1" applyAlignment="1" applyProtection="1">
      <alignment vertical="center" wrapText="1"/>
      <protection locked="0"/>
    </xf>
    <xf numFmtId="0" fontId="0" fillId="0" borderId="1" xfId="0" applyFill="1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38" xfId="0" applyFill="1" applyBorder="1" applyAlignment="1" applyProtection="1">
      <alignment vertical="center" wrapText="1"/>
      <protection locked="0"/>
    </xf>
    <xf numFmtId="0" fontId="0" fillId="0" borderId="33" xfId="0" applyBorder="1" applyProtection="1">
      <protection locked="0"/>
    </xf>
    <xf numFmtId="0" fontId="6" fillId="0" borderId="0" xfId="0" applyFont="1" applyBorder="1" applyAlignment="1" applyProtection="1">
      <protection locked="0"/>
    </xf>
    <xf numFmtId="0" fontId="3" fillId="0" borderId="27" xfId="0" applyFont="1" applyBorder="1" applyAlignment="1" applyProtection="1">
      <alignment horizontal="center" vertical="top" wrapText="1"/>
      <protection locked="0"/>
    </xf>
    <xf numFmtId="0" fontId="3" fillId="0" borderId="1" xfId="0" applyFont="1" applyBorder="1" applyAlignment="1" applyProtection="1">
      <alignment horizontal="center" vertical="top" wrapText="1"/>
      <protection locked="0"/>
    </xf>
    <xf numFmtId="0" fontId="3" fillId="0" borderId="28" xfId="0" applyFont="1" applyBorder="1" applyAlignment="1" applyProtection="1">
      <alignment horizontal="center" vertical="top" wrapText="1"/>
      <protection locked="0"/>
    </xf>
    <xf numFmtId="0" fontId="0" fillId="0" borderId="21" xfId="0" applyBorder="1" applyProtection="1">
      <protection locked="0"/>
    </xf>
    <xf numFmtId="0" fontId="0" fillId="0" borderId="11" xfId="0" applyBorder="1" applyAlignment="1" applyProtection="1">
      <alignment wrapText="1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5" xfId="0" applyBorder="1" applyProtection="1"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Protection="1">
      <protection locked="0"/>
    </xf>
    <xf numFmtId="0" fontId="0" fillId="0" borderId="1" xfId="0" applyFill="1" applyBorder="1" applyAlignment="1" applyProtection="1">
      <alignment wrapText="1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wrapText="1"/>
      <protection locked="0"/>
    </xf>
    <xf numFmtId="0" fontId="0" fillId="0" borderId="29" xfId="0" applyBorder="1" applyProtection="1">
      <protection locked="0"/>
    </xf>
    <xf numFmtId="0" fontId="0" fillId="0" borderId="12" xfId="0" applyFill="1" applyBorder="1" applyAlignment="1" applyProtection="1">
      <alignment wrapText="1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wrapText="1"/>
      <protection locked="0"/>
    </xf>
    <xf numFmtId="0" fontId="0" fillId="0" borderId="23" xfId="0" applyBorder="1" applyProtection="1"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37" xfId="0" applyBorder="1" applyProtection="1">
      <protection locked="0"/>
    </xf>
    <xf numFmtId="0" fontId="5" fillId="0" borderId="31" xfId="0" applyFont="1" applyBorder="1" applyProtection="1">
      <protection locked="0"/>
    </xf>
    <xf numFmtId="0" fontId="5" fillId="0" borderId="1" xfId="0" applyFont="1" applyFill="1" applyBorder="1" applyAlignment="1" applyProtection="1">
      <alignment wrapText="1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41" xfId="0" applyBorder="1" applyProtection="1"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4" fontId="0" fillId="0" borderId="0" xfId="0" applyNumberFormat="1"/>
    <xf numFmtId="0" fontId="0" fillId="0" borderId="96" xfId="0" applyBorder="1"/>
    <xf numFmtId="0" fontId="2" fillId="0" borderId="97" xfId="0" applyFont="1" applyBorder="1" applyAlignment="1">
      <alignment wrapText="1"/>
    </xf>
    <xf numFmtId="0" fontId="0" fillId="0" borderId="98" xfId="0" applyBorder="1"/>
    <xf numFmtId="0" fontId="0" fillId="0" borderId="8" xfId="0" applyBorder="1"/>
    <xf numFmtId="0" fontId="2" fillId="0" borderId="95" xfId="0" applyFont="1" applyBorder="1" applyAlignment="1">
      <alignment vertical="top" wrapText="1"/>
    </xf>
    <xf numFmtId="0" fontId="2" fillId="0" borderId="97" xfId="0" applyFont="1" applyBorder="1" applyAlignment="1">
      <alignment vertical="top" wrapText="1"/>
    </xf>
    <xf numFmtId="0" fontId="2" fillId="0" borderId="99" xfId="0" applyFont="1" applyBorder="1" applyAlignment="1">
      <alignment vertical="top" wrapText="1"/>
    </xf>
    <xf numFmtId="0" fontId="0" fillId="0" borderId="100" xfId="0" applyBorder="1"/>
    <xf numFmtId="0" fontId="0" fillId="0" borderId="101" xfId="0" applyBorder="1"/>
    <xf numFmtId="0" fontId="0" fillId="0" borderId="102" xfId="0" applyBorder="1"/>
    <xf numFmtId="0" fontId="0" fillId="0" borderId="58" xfId="0" applyBorder="1"/>
    <xf numFmtId="0" fontId="0" fillId="0" borderId="103" xfId="0" applyBorder="1"/>
    <xf numFmtId="0" fontId="0" fillId="0" borderId="104" xfId="0" applyBorder="1"/>
    <xf numFmtId="0" fontId="5" fillId="0" borderId="47" xfId="0" applyFont="1" applyBorder="1" applyAlignment="1">
      <alignment vertical="center" wrapText="1"/>
    </xf>
    <xf numFmtId="0" fontId="5" fillId="0" borderId="43" xfId="0" applyFont="1" applyBorder="1" applyAlignment="1">
      <alignment vertical="center" wrapText="1"/>
    </xf>
    <xf numFmtId="0" fontId="5" fillId="0" borderId="42" xfId="0" applyFont="1" applyBorder="1" applyAlignment="1">
      <alignment vertical="center" wrapText="1"/>
    </xf>
    <xf numFmtId="0" fontId="2" fillId="0" borderId="95" xfId="0" applyFont="1" applyBorder="1" applyAlignment="1" applyProtection="1">
      <alignment wrapText="1"/>
      <protection locked="0"/>
    </xf>
    <xf numFmtId="0" fontId="0" fillId="0" borderId="96" xfId="0" applyBorder="1" applyProtection="1">
      <protection locked="0"/>
    </xf>
    <xf numFmtId="0" fontId="2" fillId="0" borderId="97" xfId="0" applyFont="1" applyBorder="1" applyAlignment="1" applyProtection="1">
      <alignment wrapText="1"/>
      <protection locked="0"/>
    </xf>
    <xf numFmtId="0" fontId="0" fillId="0" borderId="98" xfId="0" applyBorder="1" applyProtection="1">
      <protection locked="0"/>
    </xf>
    <xf numFmtId="0" fontId="2" fillId="0" borderId="99" xfId="0" applyFont="1" applyBorder="1" applyAlignment="1" applyProtection="1">
      <alignment wrapText="1"/>
      <protection locked="0"/>
    </xf>
    <xf numFmtId="0" fontId="0" fillId="0" borderId="8" xfId="0" applyBorder="1" applyProtection="1">
      <protection locked="0"/>
    </xf>
    <xf numFmtId="0" fontId="3" fillId="0" borderId="4" xfId="0" applyFont="1" applyBorder="1" applyAlignment="1" applyProtection="1">
      <alignment horizontal="center" wrapText="1"/>
      <protection locked="0"/>
    </xf>
    <xf numFmtId="0" fontId="3" fillId="0" borderId="70" xfId="0" applyFont="1" applyBorder="1" applyAlignment="1" applyProtection="1">
      <alignment horizontal="center" wrapText="1"/>
      <protection locked="0"/>
    </xf>
    <xf numFmtId="0" fontId="3" fillId="0" borderId="70" xfId="0" applyFont="1" applyBorder="1" applyAlignment="1" applyProtection="1">
      <alignment horizontal="center" vertical="top" wrapText="1"/>
      <protection locked="0"/>
    </xf>
    <xf numFmtId="0" fontId="3" fillId="0" borderId="70" xfId="0" applyFont="1" applyBorder="1" applyAlignment="1" applyProtection="1">
      <alignment wrapText="1"/>
      <protection locked="0"/>
    </xf>
    <xf numFmtId="0" fontId="3" fillId="0" borderId="86" xfId="0" applyFont="1" applyBorder="1" applyAlignment="1" applyProtection="1">
      <alignment wrapText="1"/>
      <protection locked="0"/>
    </xf>
    <xf numFmtId="0" fontId="0" fillId="0" borderId="77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82" xfId="0" applyBorder="1" applyProtection="1">
      <protection locked="0"/>
    </xf>
    <xf numFmtId="0" fontId="0" fillId="0" borderId="74" xfId="0" applyBorder="1" applyProtection="1">
      <protection locked="0"/>
    </xf>
    <xf numFmtId="0" fontId="0" fillId="0" borderId="7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6" xfId="0" applyBorder="1" applyProtection="1">
      <protection locked="0"/>
    </xf>
    <xf numFmtId="0" fontId="0" fillId="0" borderId="77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78" xfId="0" applyBorder="1" applyProtection="1">
      <protection locked="0"/>
    </xf>
    <xf numFmtId="0" fontId="0" fillId="0" borderId="79" xfId="0" applyFill="1" applyBorder="1" applyProtection="1">
      <protection locked="0"/>
    </xf>
    <xf numFmtId="0" fontId="0" fillId="0" borderId="80" xfId="0" applyBorder="1" applyProtection="1">
      <protection locked="0"/>
    </xf>
    <xf numFmtId="0" fontId="0" fillId="0" borderId="81" xfId="0" applyBorder="1" applyProtection="1">
      <protection locked="0"/>
    </xf>
    <xf numFmtId="0" fontId="0" fillId="0" borderId="64" xfId="0" applyBorder="1" applyProtection="1">
      <protection locked="0"/>
    </xf>
    <xf numFmtId="0" fontId="0" fillId="0" borderId="91" xfId="0" applyBorder="1" applyProtection="1"/>
    <xf numFmtId="0" fontId="0" fillId="0" borderId="92" xfId="0" applyBorder="1" applyProtection="1"/>
    <xf numFmtId="0" fontId="0" fillId="0" borderId="75" xfId="0" applyBorder="1" applyProtection="1"/>
    <xf numFmtId="0" fontId="0" fillId="0" borderId="94" xfId="0" applyBorder="1" applyProtection="1"/>
    <xf numFmtId="0" fontId="0" fillId="0" borderId="86" xfId="0" applyBorder="1" applyProtection="1"/>
    <xf numFmtId="0" fontId="1" fillId="0" borderId="88" xfId="0" applyFont="1" applyBorder="1" applyProtection="1"/>
    <xf numFmtId="0" fontId="1" fillId="0" borderId="89" xfId="0" applyFont="1" applyBorder="1" applyProtection="1"/>
    <xf numFmtId="0" fontId="2" fillId="0" borderId="90" xfId="0" applyFont="1" applyBorder="1" applyProtection="1"/>
    <xf numFmtId="0" fontId="2" fillId="0" borderId="74" xfId="0" applyFont="1" applyBorder="1" applyProtection="1"/>
    <xf numFmtId="0" fontId="2" fillId="0" borderId="93" xfId="0" applyFont="1" applyBorder="1" applyProtection="1"/>
    <xf numFmtId="0" fontId="0" fillId="0" borderId="74" xfId="0" applyBorder="1" applyProtection="1"/>
    <xf numFmtId="0" fontId="2" fillId="0" borderId="69" xfId="0" applyFont="1" applyFill="1" applyBorder="1" applyProtection="1"/>
    <xf numFmtId="0" fontId="0" fillId="0" borderId="105" xfId="0" applyBorder="1"/>
    <xf numFmtId="0" fontId="0" fillId="0" borderId="52" xfId="0" applyBorder="1" applyAlignment="1">
      <alignment vertical="top" wrapText="1"/>
    </xf>
    <xf numFmtId="3" fontId="0" fillId="0" borderId="43" xfId="0" applyNumberFormat="1" applyBorder="1"/>
    <xf numFmtId="164" fontId="0" fillId="0" borderId="32" xfId="0" applyNumberFormat="1" applyBorder="1"/>
    <xf numFmtId="164" fontId="0" fillId="0" borderId="39" xfId="0" applyNumberFormat="1" applyBorder="1" applyAlignment="1">
      <alignment horizontal="right" vertical="top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vertical="center"/>
    </xf>
    <xf numFmtId="0" fontId="0" fillId="0" borderId="31" xfId="0" applyBorder="1" applyAlignment="1">
      <alignment horizontal="left" vertical="center" wrapText="1"/>
    </xf>
    <xf numFmtId="0" fontId="0" fillId="0" borderId="42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32" xfId="0" applyBorder="1" applyAlignment="1">
      <alignment horizontal="right"/>
    </xf>
    <xf numFmtId="0" fontId="0" fillId="0" borderId="6" xfId="0" applyFill="1" applyBorder="1"/>
    <xf numFmtId="0" fontId="3" fillId="0" borderId="4" xfId="0" applyFont="1" applyBorder="1" applyAlignment="1" applyProtection="1">
      <alignment horizontal="center" wrapText="1"/>
      <protection locked="0"/>
    </xf>
    <xf numFmtId="0" fontId="3" fillId="0" borderId="82" xfId="0" applyFont="1" applyBorder="1" applyAlignment="1" applyProtection="1">
      <alignment horizontal="center" wrapText="1"/>
      <protection locked="0"/>
    </xf>
    <xf numFmtId="0" fontId="6" fillId="2" borderId="83" xfId="0" applyFont="1" applyFill="1" applyBorder="1" applyAlignment="1" applyProtection="1">
      <alignment horizontal="center"/>
      <protection locked="0"/>
    </xf>
    <xf numFmtId="0" fontId="6" fillId="2" borderId="84" xfId="0" applyFont="1" applyFill="1" applyBorder="1" applyAlignment="1" applyProtection="1">
      <alignment horizontal="center"/>
      <protection locked="0"/>
    </xf>
    <xf numFmtId="0" fontId="6" fillId="2" borderId="85" xfId="0" applyFont="1" applyFill="1" applyBorder="1" applyAlignment="1" applyProtection="1">
      <alignment horizontal="center"/>
      <protection locked="0"/>
    </xf>
    <xf numFmtId="0" fontId="6" fillId="3" borderId="87" xfId="0" applyFont="1" applyFill="1" applyBorder="1" applyAlignment="1" applyProtection="1">
      <alignment horizontal="center"/>
    </xf>
    <xf numFmtId="0" fontId="6" fillId="3" borderId="73" xfId="0" applyFont="1" applyFill="1" applyBorder="1" applyAlignment="1" applyProtection="1">
      <alignment horizontal="center"/>
    </xf>
    <xf numFmtId="0" fontId="1" fillId="4" borderId="10" xfId="0" applyFont="1" applyFill="1" applyBorder="1" applyAlignment="1" applyProtection="1">
      <alignment horizontal="center"/>
      <protection locked="0"/>
    </xf>
    <xf numFmtId="0" fontId="1" fillId="4" borderId="9" xfId="0" applyFont="1" applyFill="1" applyBorder="1" applyAlignment="1" applyProtection="1">
      <alignment horizontal="center"/>
      <protection locked="0"/>
    </xf>
    <xf numFmtId="0" fontId="3" fillId="0" borderId="77" xfId="0" applyFont="1" applyBorder="1" applyAlignment="1" applyProtection="1">
      <alignment horizontal="center" wrapText="1"/>
      <protection locked="0"/>
    </xf>
    <xf numFmtId="0" fontId="3" fillId="0" borderId="69" xfId="0" applyFont="1" applyBorder="1" applyAlignment="1" applyProtection="1">
      <alignment horizontal="center" wrapText="1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70" xfId="0" applyFont="1" applyBorder="1" applyAlignment="1" applyProtection="1">
      <alignment horizontal="center"/>
      <protection locked="0"/>
    </xf>
    <xf numFmtId="0" fontId="3" fillId="0" borderId="70" xfId="0" applyFont="1" applyBorder="1" applyAlignment="1" applyProtection="1">
      <alignment horizontal="center" wrapText="1"/>
      <protection locked="0"/>
    </xf>
    <xf numFmtId="0" fontId="10" fillId="6" borderId="10" xfId="0" applyFont="1" applyFill="1" applyBorder="1" applyAlignment="1" applyProtection="1">
      <alignment horizontal="center"/>
      <protection locked="0"/>
    </xf>
    <xf numFmtId="0" fontId="10" fillId="6" borderId="20" xfId="0" applyFont="1" applyFill="1" applyBorder="1" applyAlignment="1" applyProtection="1">
      <alignment horizontal="center"/>
      <protection locked="0"/>
    </xf>
    <xf numFmtId="0" fontId="10" fillId="6" borderId="9" xfId="0" applyFont="1" applyFill="1" applyBorder="1" applyAlignment="1" applyProtection="1">
      <alignment horizontal="center"/>
      <protection locked="0"/>
    </xf>
    <xf numFmtId="0" fontId="1" fillId="0" borderId="44" xfId="0" applyFont="1" applyBorder="1" applyAlignment="1" applyProtection="1">
      <alignment horizontal="center" vertical="center" wrapText="1"/>
      <protection locked="0"/>
    </xf>
    <xf numFmtId="0" fontId="1" fillId="0" borderId="45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wrapText="1"/>
      <protection locked="0"/>
    </xf>
    <xf numFmtId="0" fontId="9" fillId="0" borderId="42" xfId="0" applyFont="1" applyBorder="1" applyAlignment="1" applyProtection="1">
      <alignment horizontal="center" vertical="center" wrapText="1"/>
      <protection locked="0"/>
    </xf>
    <xf numFmtId="0" fontId="9" fillId="0" borderId="43" xfId="0" applyFont="1" applyBorder="1" applyAlignment="1" applyProtection="1">
      <alignment horizontal="center" vertical="center" wrapText="1"/>
      <protection locked="0"/>
    </xf>
    <xf numFmtId="0" fontId="9" fillId="0" borderId="31" xfId="0" applyFont="1" applyFill="1" applyBorder="1" applyAlignment="1" applyProtection="1">
      <alignment horizontal="center" vertical="center"/>
      <protection locked="0"/>
    </xf>
    <xf numFmtId="0" fontId="9" fillId="0" borderId="32" xfId="0" applyFont="1" applyFill="1" applyBorder="1" applyAlignment="1" applyProtection="1">
      <alignment horizontal="center" vertical="center"/>
      <protection locked="0"/>
    </xf>
    <xf numFmtId="0" fontId="9" fillId="0" borderId="31" xfId="0" applyFont="1" applyBorder="1" applyAlignment="1" applyProtection="1">
      <alignment horizontal="center" vertical="center" wrapText="1"/>
      <protection locked="0"/>
    </xf>
    <xf numFmtId="0" fontId="9" fillId="0" borderId="32" xfId="0" applyFont="1" applyBorder="1" applyAlignment="1" applyProtection="1">
      <alignment horizontal="center" vertical="center" wrapText="1"/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22" xfId="0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5" borderId="20" xfId="0" applyFont="1" applyFill="1" applyBorder="1" applyAlignment="1" applyProtection="1">
      <alignment horizontal="center"/>
      <protection locked="0"/>
    </xf>
    <xf numFmtId="0" fontId="10" fillId="5" borderId="9" xfId="0" applyFont="1" applyFill="1" applyBorder="1" applyAlignment="1" applyProtection="1">
      <alignment horizontal="center"/>
      <protection locked="0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1" fillId="0" borderId="41" xfId="0" applyFont="1" applyBorder="1" applyAlignment="1" applyProtection="1">
      <alignment horizontal="center" vertical="center" wrapText="1"/>
      <protection locked="0"/>
    </xf>
    <xf numFmtId="0" fontId="6" fillId="0" borderId="44" xfId="0" applyFont="1" applyBorder="1" applyAlignment="1" applyProtection="1">
      <alignment horizontal="center" vertical="center"/>
      <protection locked="0"/>
    </xf>
    <xf numFmtId="0" fontId="6" fillId="0" borderId="46" xfId="0" applyFont="1" applyBorder="1" applyAlignment="1" applyProtection="1">
      <alignment horizontal="center" vertical="center"/>
      <protection locked="0"/>
    </xf>
    <xf numFmtId="0" fontId="6" fillId="0" borderId="45" xfId="0" applyFont="1" applyBorder="1" applyAlignment="1" applyProtection="1">
      <alignment horizontal="center" vertic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20" xfId="0" applyFont="1" applyFill="1" applyBorder="1" applyAlignment="1" applyProtection="1">
      <alignment horizontal="center"/>
      <protection locked="0"/>
    </xf>
    <xf numFmtId="0" fontId="10" fillId="4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6" fillId="4" borderId="10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106" xfId="0" applyFont="1" applyBorder="1" applyAlignment="1">
      <alignment horizontal="center"/>
    </xf>
    <xf numFmtId="0" fontId="4" fillId="0" borderId="107" xfId="0" applyFont="1" applyBorder="1" applyAlignment="1">
      <alignment horizontal="center"/>
    </xf>
    <xf numFmtId="0" fontId="13" fillId="0" borderId="10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5" fillId="7" borderId="10" xfId="0" applyFont="1" applyFill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0" fontId="5" fillId="7" borderId="9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3" fillId="0" borderId="60" xfId="0" applyFont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3" fillId="0" borderId="57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4" fillId="2" borderId="65" xfId="0" applyFont="1" applyFill="1" applyBorder="1" applyAlignment="1">
      <alignment horizontal="center"/>
    </xf>
    <xf numFmtId="0" fontId="4" fillId="2" borderId="61" xfId="0" applyFont="1" applyFill="1" applyBorder="1" applyAlignment="1">
      <alignment horizontal="center"/>
    </xf>
    <xf numFmtId="0" fontId="4" fillId="2" borderId="66" xfId="0" applyFont="1" applyFill="1" applyBorder="1" applyAlignment="1">
      <alignment horizontal="center"/>
    </xf>
    <xf numFmtId="0" fontId="3" fillId="0" borderId="51" xfId="0" applyFont="1" applyBorder="1" applyAlignment="1">
      <alignment horizontal="center" vertical="center" wrapText="1"/>
    </xf>
    <xf numFmtId="0" fontId="4" fillId="3" borderId="65" xfId="0" applyFont="1" applyFill="1" applyBorder="1" applyAlignment="1">
      <alignment horizontal="center" wrapText="1"/>
    </xf>
    <xf numFmtId="0" fontId="4" fillId="3" borderId="61" xfId="0" applyFont="1" applyFill="1" applyBorder="1" applyAlignment="1">
      <alignment horizontal="center" wrapText="1"/>
    </xf>
    <xf numFmtId="0" fontId="4" fillId="3" borderId="66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66FF99"/>
      <color rgb="FFFF6600"/>
      <color rgb="FFFFCCFF"/>
      <color rgb="FF008000"/>
      <color rgb="FF33CC33"/>
      <color rgb="FFFF00FF"/>
      <color rgb="FF0000FF"/>
      <color rgb="FF6699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12</xdr:col>
          <xdr:colOff>590550</xdr:colOff>
          <xdr:row>8</xdr:row>
          <xdr:rowOff>276225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476250</xdr:colOff>
          <xdr:row>5</xdr:row>
          <xdr:rowOff>485775</xdr:rowOff>
        </xdr:from>
        <xdr:to>
          <xdr:col>18</xdr:col>
          <xdr:colOff>57150</xdr:colOff>
          <xdr:row>7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15</xdr:row>
          <xdr:rowOff>409575</xdr:rowOff>
        </xdr:from>
        <xdr:to>
          <xdr:col>18</xdr:col>
          <xdr:colOff>28575</xdr:colOff>
          <xdr:row>17</xdr:row>
          <xdr:rowOff>57150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Compute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857250</xdr:colOff>
          <xdr:row>5</xdr:row>
          <xdr:rowOff>19050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Compute (Balanced)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19050</xdr:rowOff>
        </xdr:from>
        <xdr:to>
          <xdr:col>16</xdr:col>
          <xdr:colOff>809625</xdr:colOff>
          <xdr:row>29</xdr:row>
          <xdr:rowOff>361950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Compute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(Compression Ratio Known)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1809750</xdr:colOff>
          <xdr:row>8</xdr:row>
          <xdr:rowOff>266700</xdr:rowOff>
        </xdr:from>
        <xdr:to>
          <xdr:col>7</xdr:col>
          <xdr:colOff>76200</xdr:colOff>
          <xdr:row>10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Output Gas 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1076325</xdr:colOff>
          <xdr:row>35</xdr:row>
          <xdr:rowOff>161925</xdr:rowOff>
        </xdr:from>
        <xdr:to>
          <xdr:col>11</xdr:col>
          <xdr:colOff>209550</xdr:colOff>
          <xdr:row>39</xdr:row>
          <xdr:rowOff>19050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Compute Volume Fraction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Q33"/>
  <sheetViews>
    <sheetView zoomScale="80" zoomScaleNormal="80" workbookViewId="0">
      <selection activeCell="G5" sqref="G5"/>
    </sheetView>
  </sheetViews>
  <sheetFormatPr defaultRowHeight="15" x14ac:dyDescent="0.25"/>
  <cols>
    <col min="1" max="1" width="9.140625" style="76"/>
    <col min="2" max="2" width="15.85546875" style="76" customWidth="1"/>
    <col min="3" max="3" width="15" style="76" customWidth="1"/>
    <col min="4" max="4" width="12" style="76" customWidth="1"/>
    <col min="5" max="5" width="12.42578125" style="76" customWidth="1"/>
    <col min="6" max="7" width="16.7109375" style="76" customWidth="1"/>
    <col min="8" max="8" width="13.140625" style="76" customWidth="1"/>
    <col min="9" max="9" width="9.140625" style="76"/>
    <col min="10" max="10" width="13.42578125" style="76" customWidth="1"/>
    <col min="11" max="14" width="9.140625" style="76"/>
    <col min="15" max="15" width="46.7109375" style="76" customWidth="1"/>
    <col min="16" max="16384" width="9.140625" style="76"/>
  </cols>
  <sheetData>
    <row r="2" spans="1:17" ht="15.75" thickBot="1" x14ac:dyDescent="0.3"/>
    <row r="3" spans="1:17" ht="19.5" thickBot="1" x14ac:dyDescent="0.35">
      <c r="B3" s="223" t="s">
        <v>12</v>
      </c>
      <c r="C3" s="224"/>
    </row>
    <row r="4" spans="1:17" ht="47.25" x14ac:dyDescent="0.25">
      <c r="B4" s="167" t="s">
        <v>53</v>
      </c>
      <c r="C4" s="168">
        <v>68</v>
      </c>
    </row>
    <row r="5" spans="1:17" ht="31.5" x14ac:dyDescent="0.25">
      <c r="B5" s="169" t="s">
        <v>51</v>
      </c>
      <c r="C5" s="170">
        <v>1200</v>
      </c>
    </row>
    <row r="6" spans="1:17" ht="31.5" x14ac:dyDescent="0.25">
      <c r="B6" s="169" t="s">
        <v>52</v>
      </c>
      <c r="C6" s="170">
        <v>600</v>
      </c>
    </row>
    <row r="7" spans="1:17" ht="48" thickBot="1" x14ac:dyDescent="0.3">
      <c r="B7" s="171" t="s">
        <v>54</v>
      </c>
      <c r="C7" s="172">
        <v>45</v>
      </c>
    </row>
    <row r="8" spans="1:17" ht="15.75" thickBot="1" x14ac:dyDescent="0.3">
      <c r="O8" s="83"/>
    </row>
    <row r="9" spans="1:17" ht="22.5" thickTop="1" thickBot="1" x14ac:dyDescent="0.4">
      <c r="A9" s="83"/>
      <c r="B9" s="218" t="s">
        <v>5</v>
      </c>
      <c r="C9" s="219"/>
      <c r="D9" s="219"/>
      <c r="E9" s="219"/>
      <c r="F9" s="219"/>
      <c r="G9" s="219"/>
      <c r="H9" s="219"/>
      <c r="I9" s="219"/>
      <c r="J9" s="220"/>
      <c r="N9" s="83"/>
      <c r="O9" s="221" t="s">
        <v>10</v>
      </c>
      <c r="P9" s="222"/>
      <c r="Q9" s="83"/>
    </row>
    <row r="10" spans="1:17" ht="30" customHeight="1" thickBot="1" x14ac:dyDescent="0.35">
      <c r="A10" s="83"/>
      <c r="B10" s="225" t="s">
        <v>0</v>
      </c>
      <c r="C10" s="227" t="s">
        <v>40</v>
      </c>
      <c r="D10" s="216" t="s">
        <v>1</v>
      </c>
      <c r="E10" s="216" t="s">
        <v>6</v>
      </c>
      <c r="F10" s="216"/>
      <c r="G10" s="173"/>
      <c r="H10" s="216" t="s">
        <v>2</v>
      </c>
      <c r="I10" s="216" t="s">
        <v>7</v>
      </c>
      <c r="J10" s="217"/>
      <c r="N10" s="83"/>
      <c r="O10" s="197" t="s">
        <v>18</v>
      </c>
      <c r="P10" s="198" t="s">
        <v>17</v>
      </c>
    </row>
    <row r="11" spans="1:17" ht="48" thickBot="1" x14ac:dyDescent="0.3">
      <c r="A11" s="83"/>
      <c r="B11" s="226"/>
      <c r="C11" s="228"/>
      <c r="D11" s="229"/>
      <c r="E11" s="174" t="s">
        <v>4</v>
      </c>
      <c r="F11" s="175" t="s">
        <v>3</v>
      </c>
      <c r="G11" s="175" t="s">
        <v>42</v>
      </c>
      <c r="H11" s="229"/>
      <c r="I11" s="176" t="s">
        <v>8</v>
      </c>
      <c r="J11" s="177" t="s">
        <v>9</v>
      </c>
      <c r="N11" s="83"/>
      <c r="O11" s="199" t="s">
        <v>43</v>
      </c>
      <c r="P11" s="192">
        <v>16.844377752</v>
      </c>
    </row>
    <row r="12" spans="1:17" ht="16.5" thickTop="1" x14ac:dyDescent="0.25">
      <c r="B12" s="178" t="s">
        <v>19</v>
      </c>
      <c r="C12" s="179">
        <v>95.195999999999998</v>
      </c>
      <c r="D12" s="179">
        <v>16.042999999999999</v>
      </c>
      <c r="E12" s="179">
        <v>666</v>
      </c>
      <c r="F12" s="179">
        <v>-116.66</v>
      </c>
      <c r="G12" s="179">
        <f>F13+460</f>
        <v>550.06999999999994</v>
      </c>
      <c r="H12" s="179">
        <v>0.52676000000000001</v>
      </c>
      <c r="I12" s="179">
        <v>909</v>
      </c>
      <c r="J12" s="180">
        <v>1010</v>
      </c>
      <c r="N12" s="83"/>
      <c r="O12" s="200" t="s">
        <v>13</v>
      </c>
      <c r="P12" s="193">
        <v>933.33333333333337</v>
      </c>
    </row>
    <row r="13" spans="1:17" ht="15.75" x14ac:dyDescent="0.25">
      <c r="B13" s="181" t="s">
        <v>20</v>
      </c>
      <c r="C13" s="109">
        <v>3.9129999999999998</v>
      </c>
      <c r="D13" s="109">
        <v>30.07</v>
      </c>
      <c r="E13" s="109">
        <v>707</v>
      </c>
      <c r="F13" s="109">
        <v>90.07</v>
      </c>
      <c r="G13" s="179">
        <f t="shared" ref="G13:G32" si="0">F14+460</f>
        <v>665.93000000000006</v>
      </c>
      <c r="H13" s="109">
        <v>0.40788999999999997</v>
      </c>
      <c r="I13" s="109">
        <v>1619</v>
      </c>
      <c r="J13" s="182">
        <v>1770</v>
      </c>
      <c r="N13" s="83"/>
      <c r="O13" s="201" t="s">
        <v>14</v>
      </c>
      <c r="P13" s="194">
        <v>55.710952051105217</v>
      </c>
    </row>
    <row r="14" spans="1:17" ht="15.75" x14ac:dyDescent="0.25">
      <c r="B14" s="181" t="s">
        <v>21</v>
      </c>
      <c r="C14" s="109">
        <v>0.16300000000000001</v>
      </c>
      <c r="D14" s="109">
        <v>44.097000000000001</v>
      </c>
      <c r="E14" s="109">
        <v>617</v>
      </c>
      <c r="F14" s="109">
        <v>205.93</v>
      </c>
      <c r="G14" s="179">
        <f t="shared" si="0"/>
        <v>734.4</v>
      </c>
      <c r="H14" s="109">
        <v>0.38846999999999998</v>
      </c>
      <c r="I14" s="109">
        <v>2315</v>
      </c>
      <c r="J14" s="182">
        <v>2516</v>
      </c>
      <c r="N14" s="83"/>
      <c r="O14" s="200" t="s">
        <v>11</v>
      </c>
      <c r="P14" s="195">
        <v>0.95081482407464668</v>
      </c>
    </row>
    <row r="15" spans="1:17" ht="15.75" x14ac:dyDescent="0.25">
      <c r="B15" s="181" t="s">
        <v>22</v>
      </c>
      <c r="C15" s="109">
        <v>2.5999999999999999E-2</v>
      </c>
      <c r="D15" s="109">
        <v>58.122999999999998</v>
      </c>
      <c r="E15" s="109">
        <v>527.9</v>
      </c>
      <c r="F15" s="109">
        <v>274.39999999999998</v>
      </c>
      <c r="G15" s="179">
        <f t="shared" si="0"/>
        <v>765.52</v>
      </c>
      <c r="H15" s="109">
        <v>0.38668999999999998</v>
      </c>
      <c r="I15" s="109">
        <v>3000</v>
      </c>
      <c r="J15" s="182">
        <v>3252</v>
      </c>
      <c r="N15" s="83"/>
      <c r="O15" s="200" t="s">
        <v>15</v>
      </c>
      <c r="P15" s="194">
        <v>0.58159267162710404</v>
      </c>
    </row>
    <row r="16" spans="1:17" ht="15.75" x14ac:dyDescent="0.25">
      <c r="B16" s="181" t="s">
        <v>23</v>
      </c>
      <c r="C16" s="109">
        <v>2.4E-2</v>
      </c>
      <c r="D16" s="109">
        <v>58.122999999999998</v>
      </c>
      <c r="E16" s="109">
        <v>548.79999999999995</v>
      </c>
      <c r="F16" s="109">
        <v>305.52</v>
      </c>
      <c r="G16" s="179">
        <f t="shared" si="0"/>
        <v>828.96</v>
      </c>
      <c r="H16" s="109">
        <v>0.39500000000000002</v>
      </c>
      <c r="I16" s="109">
        <v>3011</v>
      </c>
      <c r="J16" s="182">
        <v>3262</v>
      </c>
      <c r="O16" s="201" t="s">
        <v>44</v>
      </c>
      <c r="P16" s="193">
        <v>1037.7138289999998</v>
      </c>
    </row>
    <row r="17" spans="1:16" x14ac:dyDescent="0.25">
      <c r="B17" s="181" t="s">
        <v>24</v>
      </c>
      <c r="C17" s="109">
        <v>8.9999999999999998E-4</v>
      </c>
      <c r="D17" s="109">
        <v>72.150000000000006</v>
      </c>
      <c r="E17" s="109">
        <v>490.4</v>
      </c>
      <c r="F17" s="109">
        <v>368.96</v>
      </c>
      <c r="G17" s="179">
        <f t="shared" si="0"/>
        <v>845.7</v>
      </c>
      <c r="H17" s="109">
        <v>0.38447999999999999</v>
      </c>
      <c r="I17" s="109">
        <v>3699</v>
      </c>
      <c r="J17" s="182">
        <v>4001</v>
      </c>
      <c r="O17" s="202" t="s">
        <v>45</v>
      </c>
      <c r="P17" s="194">
        <v>935.11189100000024</v>
      </c>
    </row>
    <row r="18" spans="1:16" ht="15.75" x14ac:dyDescent="0.25">
      <c r="B18" s="181" t="s">
        <v>25</v>
      </c>
      <c r="C18" s="109">
        <v>5.0000000000000001E-3</v>
      </c>
      <c r="D18" s="109">
        <v>72.150000000000006</v>
      </c>
      <c r="E18" s="109">
        <v>488.1</v>
      </c>
      <c r="F18" s="109">
        <v>385.7</v>
      </c>
      <c r="G18" s="179">
        <f t="shared" si="0"/>
        <v>781.01</v>
      </c>
      <c r="H18" s="109">
        <v>0.38830999999999999</v>
      </c>
      <c r="I18" s="109">
        <v>3704</v>
      </c>
      <c r="J18" s="182">
        <v>4009</v>
      </c>
      <c r="O18" s="200" t="s">
        <v>16</v>
      </c>
      <c r="P18" s="194">
        <v>1.2218203631018871E-2</v>
      </c>
    </row>
    <row r="19" spans="1:16" ht="16.5" thickBot="1" x14ac:dyDescent="0.3">
      <c r="B19" s="181" t="s">
        <v>26</v>
      </c>
      <c r="C19" s="109">
        <v>0</v>
      </c>
      <c r="D19" s="109">
        <v>86.177000000000007</v>
      </c>
      <c r="E19" s="109">
        <v>464</v>
      </c>
      <c r="F19" s="109">
        <v>321.01</v>
      </c>
      <c r="G19" s="179">
        <f t="shared" si="0"/>
        <v>913.8</v>
      </c>
      <c r="H19" s="109">
        <v>0.39038</v>
      </c>
      <c r="I19" s="109">
        <v>3685</v>
      </c>
      <c r="J19" s="182">
        <v>3987</v>
      </c>
      <c r="O19" s="203" t="s">
        <v>41</v>
      </c>
      <c r="P19" s="196">
        <v>0.51967074321999995</v>
      </c>
    </row>
    <row r="20" spans="1:16" ht="15.75" thickTop="1" x14ac:dyDescent="0.25">
      <c r="B20" s="181" t="s">
        <v>27</v>
      </c>
      <c r="C20" s="109">
        <v>8.0000000000000002E-3</v>
      </c>
      <c r="D20" s="109">
        <v>86.177000000000007</v>
      </c>
      <c r="E20" s="109">
        <v>436.9</v>
      </c>
      <c r="F20" s="109">
        <v>453.8</v>
      </c>
      <c r="G20" s="179">
        <f t="shared" si="0"/>
        <v>972.8</v>
      </c>
      <c r="H20" s="109">
        <v>0.38630999999999999</v>
      </c>
      <c r="I20" s="109">
        <v>4404</v>
      </c>
      <c r="J20" s="182">
        <v>4756</v>
      </c>
    </row>
    <row r="21" spans="1:16" x14ac:dyDescent="0.25">
      <c r="B21" s="181" t="s">
        <v>28</v>
      </c>
      <c r="C21" s="109">
        <v>8.0000000000000002E-3</v>
      </c>
      <c r="D21" s="109">
        <v>100.24</v>
      </c>
      <c r="E21" s="109">
        <v>396.8</v>
      </c>
      <c r="F21" s="109">
        <v>512.79999999999995</v>
      </c>
      <c r="G21" s="179">
        <f t="shared" si="0"/>
        <v>1024.1500000000001</v>
      </c>
      <c r="H21" s="109">
        <v>0.38449</v>
      </c>
      <c r="I21" s="109">
        <v>5100</v>
      </c>
      <c r="J21" s="182">
        <v>5503</v>
      </c>
    </row>
    <row r="22" spans="1:16" x14ac:dyDescent="0.25">
      <c r="B22" s="181" t="s">
        <v>29</v>
      </c>
      <c r="C22" s="109">
        <v>3.0000000000000001E-3</v>
      </c>
      <c r="D22" s="109">
        <v>114.23099999999999</v>
      </c>
      <c r="E22" s="109">
        <v>360.7</v>
      </c>
      <c r="F22" s="109">
        <v>564.15</v>
      </c>
      <c r="G22" s="179">
        <f t="shared" si="0"/>
        <v>1070.72</v>
      </c>
      <c r="H22" s="109">
        <v>0.38334000000000001</v>
      </c>
      <c r="I22" s="109">
        <v>5796</v>
      </c>
      <c r="J22" s="182">
        <v>6249</v>
      </c>
    </row>
    <row r="23" spans="1:16" x14ac:dyDescent="0.25">
      <c r="B23" s="181" t="s">
        <v>30</v>
      </c>
      <c r="C23" s="109">
        <v>0</v>
      </c>
      <c r="D23" s="109">
        <v>128.25800000000001</v>
      </c>
      <c r="E23" s="109">
        <v>330.7</v>
      </c>
      <c r="F23" s="109">
        <v>610.72</v>
      </c>
      <c r="G23" s="179">
        <f t="shared" si="0"/>
        <v>1112.0999999999999</v>
      </c>
      <c r="H23" s="109">
        <v>0.38222</v>
      </c>
      <c r="I23" s="109">
        <v>6494</v>
      </c>
      <c r="J23" s="182">
        <v>6997</v>
      </c>
    </row>
    <row r="24" spans="1:16" x14ac:dyDescent="0.25">
      <c r="B24" s="181" t="s">
        <v>31</v>
      </c>
      <c r="C24" s="109">
        <v>0</v>
      </c>
      <c r="D24" s="109">
        <v>142.285</v>
      </c>
      <c r="E24" s="109">
        <v>304.60000000000002</v>
      </c>
      <c r="F24" s="109">
        <v>652.1</v>
      </c>
      <c r="G24" s="179">
        <f t="shared" si="0"/>
        <v>239.49</v>
      </c>
      <c r="H24" s="109">
        <v>0.38180999999999998</v>
      </c>
      <c r="I24" s="109">
        <v>7190</v>
      </c>
      <c r="J24" s="182">
        <v>7743</v>
      </c>
    </row>
    <row r="25" spans="1:16" x14ac:dyDescent="0.25">
      <c r="B25" s="181" t="s">
        <v>32</v>
      </c>
      <c r="C25" s="109">
        <v>0.56499999999999995</v>
      </c>
      <c r="D25" s="109">
        <v>44.01</v>
      </c>
      <c r="E25" s="109">
        <v>1071</v>
      </c>
      <c r="F25" s="109">
        <v>-220.51</v>
      </c>
      <c r="G25" s="179">
        <f t="shared" si="0"/>
        <v>227.52</v>
      </c>
      <c r="H25" s="109">
        <v>0.19908999999999999</v>
      </c>
      <c r="I25" s="109">
        <v>0</v>
      </c>
      <c r="J25" s="182">
        <v>0</v>
      </c>
    </row>
    <row r="26" spans="1:16" x14ac:dyDescent="0.25">
      <c r="B26" s="181" t="s">
        <v>33</v>
      </c>
      <c r="C26" s="109">
        <v>8.3000000000000004E-2</v>
      </c>
      <c r="D26" s="109">
        <v>28.013400000000001</v>
      </c>
      <c r="E26" s="109">
        <v>493</v>
      </c>
      <c r="F26" s="109">
        <v>-232.48</v>
      </c>
      <c r="G26" s="179">
        <f t="shared" si="0"/>
        <v>278.60000000000002</v>
      </c>
      <c r="H26" s="109">
        <v>0.24833</v>
      </c>
      <c r="I26" s="109">
        <v>0</v>
      </c>
      <c r="J26" s="182">
        <v>0</v>
      </c>
    </row>
    <row r="27" spans="1:16" x14ac:dyDescent="0.25">
      <c r="B27" s="181" t="s">
        <v>34</v>
      </c>
      <c r="C27" s="109">
        <v>0</v>
      </c>
      <c r="D27" s="109">
        <v>31.9998</v>
      </c>
      <c r="E27" s="109">
        <v>731.4</v>
      </c>
      <c r="F27" s="109">
        <v>-181.4</v>
      </c>
      <c r="G27" s="179">
        <f t="shared" si="0"/>
        <v>59.699999999999989</v>
      </c>
      <c r="H27" s="109">
        <v>0.21897</v>
      </c>
      <c r="I27" s="109">
        <v>0</v>
      </c>
      <c r="J27" s="182">
        <v>0</v>
      </c>
    </row>
    <row r="28" spans="1:16" x14ac:dyDescent="0.25">
      <c r="B28" s="181" t="s">
        <v>35</v>
      </c>
      <c r="C28" s="109">
        <v>0</v>
      </c>
      <c r="D28" s="109">
        <v>2.0158999999999998</v>
      </c>
      <c r="E28" s="109">
        <v>187.5</v>
      </c>
      <c r="F28" s="109">
        <v>-400.3</v>
      </c>
      <c r="G28" s="179">
        <f t="shared" si="0"/>
        <v>9.6899999999999977</v>
      </c>
      <c r="H28" s="109">
        <v>3.4066000000000001</v>
      </c>
      <c r="I28" s="109">
        <v>274</v>
      </c>
      <c r="J28" s="182">
        <v>324</v>
      </c>
    </row>
    <row r="29" spans="1:16" x14ac:dyDescent="0.25">
      <c r="A29" s="83"/>
      <c r="B29" s="181" t="s">
        <v>36</v>
      </c>
      <c r="C29" s="183">
        <v>0</v>
      </c>
      <c r="D29" s="183">
        <v>4.0026000000000002</v>
      </c>
      <c r="E29" s="183">
        <v>32.99</v>
      </c>
      <c r="F29" s="183">
        <v>-450.31</v>
      </c>
      <c r="G29" s="179">
        <f t="shared" si="0"/>
        <v>272.39999999999998</v>
      </c>
      <c r="H29" s="183">
        <v>1.2403999999999999</v>
      </c>
      <c r="I29" s="183">
        <v>0</v>
      </c>
      <c r="J29" s="184">
        <v>0</v>
      </c>
    </row>
    <row r="30" spans="1:16" x14ac:dyDescent="0.25">
      <c r="A30" s="83"/>
      <c r="B30" s="185" t="s">
        <v>37</v>
      </c>
      <c r="C30" s="186">
        <v>0</v>
      </c>
      <c r="D30" s="186">
        <v>39.950000000000003</v>
      </c>
      <c r="E30" s="186">
        <v>707</v>
      </c>
      <c r="F30" s="186">
        <v>-187.6</v>
      </c>
      <c r="G30" s="179">
        <f t="shared" si="0"/>
        <v>584.75</v>
      </c>
      <c r="H30" s="186">
        <v>0.125</v>
      </c>
      <c r="I30" s="186">
        <v>0</v>
      </c>
      <c r="J30" s="187">
        <v>0</v>
      </c>
    </row>
    <row r="31" spans="1:16" x14ac:dyDescent="0.25">
      <c r="A31" s="83"/>
      <c r="B31" s="185" t="s">
        <v>38</v>
      </c>
      <c r="C31" s="186">
        <v>0</v>
      </c>
      <c r="D31" s="186">
        <v>34.082000000000001</v>
      </c>
      <c r="E31" s="186">
        <v>1306</v>
      </c>
      <c r="F31" s="186">
        <v>124.75</v>
      </c>
      <c r="G31" s="179">
        <f t="shared" si="0"/>
        <v>1165.0999999999999</v>
      </c>
      <c r="H31" s="186">
        <v>0.23838000000000001</v>
      </c>
      <c r="I31" s="186">
        <v>587</v>
      </c>
      <c r="J31" s="187">
        <v>637</v>
      </c>
    </row>
    <row r="32" spans="1:16" ht="15.75" thickBot="1" x14ac:dyDescent="0.3">
      <c r="A32" s="83"/>
      <c r="B32" s="188" t="s">
        <v>39</v>
      </c>
      <c r="C32" s="189">
        <v>0</v>
      </c>
      <c r="D32" s="189">
        <v>18.0153</v>
      </c>
      <c r="E32" s="189">
        <v>3200.1</v>
      </c>
      <c r="F32" s="189">
        <v>705.1</v>
      </c>
      <c r="G32" s="190">
        <f t="shared" si="0"/>
        <v>460</v>
      </c>
      <c r="H32" s="189">
        <v>0.44468999999999997</v>
      </c>
      <c r="I32" s="189">
        <v>0</v>
      </c>
      <c r="J32" s="191">
        <v>0</v>
      </c>
    </row>
    <row r="33" ht="15.75" thickTop="1" x14ac:dyDescent="0.25"/>
  </sheetData>
  <sheetProtection selectLockedCells="1"/>
  <mergeCells count="9">
    <mergeCell ref="I10:J10"/>
    <mergeCell ref="B9:J9"/>
    <mergeCell ref="O9:P9"/>
    <mergeCell ref="B3:C3"/>
    <mergeCell ref="E10:F10"/>
    <mergeCell ref="B10:B11"/>
    <mergeCell ref="C10:C11"/>
    <mergeCell ref="D10:D11"/>
    <mergeCell ref="H10:H11"/>
  </mergeCells>
  <pageMargins left="0.7" right="0.7" top="0.75" bottom="0.75" header="0.3" footer="0.3"/>
  <pageSetup orientation="portrait" horizontalDpi="4294967293" verticalDpi="0" r:id="rId1"/>
  <ignoredErrors>
    <ignoredError sqref="G12:G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urce_Gas_Prop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590550</xdr:colOff>
                    <xdr:row>8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Y79"/>
  <sheetViews>
    <sheetView topLeftCell="A25" zoomScale="70" zoomScaleNormal="70" workbookViewId="0">
      <selection activeCell="H11" sqref="H11"/>
    </sheetView>
  </sheetViews>
  <sheetFormatPr defaultRowHeight="15" x14ac:dyDescent="0.25"/>
  <cols>
    <col min="1" max="1" width="9.140625" style="76"/>
    <col min="2" max="2" width="6.42578125" style="76" customWidth="1"/>
    <col min="3" max="3" width="30.85546875" style="76" customWidth="1"/>
    <col min="4" max="4" width="23.5703125" style="76" customWidth="1"/>
    <col min="5" max="5" width="13.28515625" style="76" customWidth="1"/>
    <col min="6" max="6" width="14.42578125" style="76" customWidth="1"/>
    <col min="7" max="7" width="9.140625" style="76"/>
    <col min="8" max="8" width="28.28515625" style="76" customWidth="1"/>
    <col min="9" max="14" width="9.140625" style="76"/>
    <col min="15" max="15" width="25.7109375" style="76" customWidth="1"/>
    <col min="16" max="16" width="9.140625" style="76"/>
    <col min="17" max="17" width="7.7109375" style="76" customWidth="1"/>
    <col min="18" max="18" width="11.7109375" style="76" customWidth="1"/>
    <col min="19" max="19" width="8.140625" style="76" customWidth="1"/>
    <col min="20" max="20" width="18.140625" style="76" customWidth="1"/>
    <col min="21" max="21" width="13.28515625" style="76" customWidth="1"/>
    <col min="22" max="22" width="12" style="76" customWidth="1"/>
    <col min="23" max="23" width="12.5703125" style="76" customWidth="1"/>
    <col min="24" max="24" width="12.7109375" style="76" customWidth="1"/>
    <col min="25" max="26" width="9.140625" style="76"/>
    <col min="27" max="27" width="14.5703125" style="76" customWidth="1"/>
    <col min="28" max="28" width="14.140625" style="76" customWidth="1"/>
    <col min="29" max="29" width="13.85546875" style="76" customWidth="1"/>
    <col min="30" max="16384" width="9.140625" style="76"/>
  </cols>
  <sheetData>
    <row r="1" spans="2:25" ht="22.5" customHeight="1" x14ac:dyDescent="0.25"/>
    <row r="2" spans="2:25" ht="25.5" customHeight="1" thickBot="1" x14ac:dyDescent="0.3"/>
    <row r="3" spans="2:25" ht="27" thickBot="1" x14ac:dyDescent="0.45">
      <c r="B3" s="249" t="s">
        <v>67</v>
      </c>
      <c r="C3" s="250"/>
      <c r="D3" s="250"/>
      <c r="E3" s="250"/>
      <c r="F3" s="250"/>
      <c r="G3" s="250"/>
      <c r="H3" s="250"/>
      <c r="I3" s="250"/>
      <c r="J3" s="250"/>
      <c r="K3" s="251"/>
      <c r="N3" s="230" t="s">
        <v>125</v>
      </c>
      <c r="O3" s="231"/>
      <c r="P3" s="231"/>
      <c r="Q3" s="231"/>
      <c r="R3" s="231"/>
      <c r="S3" s="231"/>
      <c r="T3" s="231"/>
      <c r="U3" s="231"/>
      <c r="V3" s="232"/>
    </row>
    <row r="4" spans="2:25" ht="23.25" x14ac:dyDescent="0.35">
      <c r="B4" s="77"/>
      <c r="C4" s="78"/>
      <c r="D4" s="78"/>
      <c r="E4" s="78"/>
      <c r="F4" s="78"/>
      <c r="G4" s="78"/>
      <c r="H4" s="79"/>
      <c r="I4" s="79"/>
      <c r="J4" s="79"/>
      <c r="K4" s="80"/>
      <c r="N4" s="77"/>
      <c r="O4" s="79"/>
      <c r="P4" s="79"/>
      <c r="Q4" s="79"/>
      <c r="R4" s="79"/>
      <c r="S4" s="79"/>
      <c r="T4" s="79"/>
      <c r="U4" s="79"/>
      <c r="V4" s="80"/>
    </row>
    <row r="5" spans="2:25" ht="21.75" thickBot="1" x14ac:dyDescent="0.4">
      <c r="B5" s="81"/>
      <c r="C5" s="235" t="s">
        <v>5</v>
      </c>
      <c r="D5" s="235"/>
      <c r="E5" s="82"/>
      <c r="F5" s="82"/>
      <c r="G5" s="83"/>
      <c r="J5" s="83"/>
      <c r="K5" s="84"/>
      <c r="N5" s="81"/>
      <c r="O5" s="85" t="s">
        <v>5</v>
      </c>
      <c r="P5" s="83"/>
      <c r="Q5" s="83"/>
      <c r="R5" s="83"/>
      <c r="S5" s="83"/>
      <c r="T5" s="83"/>
      <c r="U5" s="83"/>
      <c r="V5" s="84"/>
    </row>
    <row r="6" spans="2:25" ht="38.25" customHeight="1" thickTop="1" x14ac:dyDescent="0.25">
      <c r="B6" s="81"/>
      <c r="C6" s="236" t="s">
        <v>62</v>
      </c>
      <c r="D6" s="237"/>
      <c r="E6" s="82"/>
      <c r="F6" s="82"/>
      <c r="G6" s="83"/>
      <c r="J6" s="83"/>
      <c r="K6" s="84"/>
      <c r="N6" s="81"/>
      <c r="O6" s="86" t="s">
        <v>69</v>
      </c>
      <c r="P6" s="87">
        <v>1400</v>
      </c>
      <c r="Q6" s="82"/>
      <c r="R6" s="82"/>
      <c r="V6" s="84"/>
    </row>
    <row r="7" spans="2:25" ht="36.75" customHeight="1" thickBot="1" x14ac:dyDescent="0.3">
      <c r="B7" s="81"/>
      <c r="C7" s="88" t="s">
        <v>46</v>
      </c>
      <c r="D7" s="89">
        <v>5690</v>
      </c>
      <c r="E7" s="83"/>
      <c r="F7" s="83"/>
      <c r="G7" s="83"/>
      <c r="J7" s="83"/>
      <c r="K7" s="84"/>
      <c r="N7" s="81"/>
      <c r="O7" s="90" t="s">
        <v>70</v>
      </c>
      <c r="P7" s="91">
        <v>16</v>
      </c>
      <c r="Q7" s="82"/>
      <c r="R7" s="82"/>
      <c r="V7" s="84"/>
    </row>
    <row r="8" spans="2:25" ht="39.75" customHeight="1" thickTop="1" x14ac:dyDescent="0.25">
      <c r="B8" s="81"/>
      <c r="C8" s="90" t="s">
        <v>47</v>
      </c>
      <c r="D8" s="89">
        <v>20</v>
      </c>
      <c r="E8" s="83"/>
      <c r="F8" s="83"/>
      <c r="G8" s="83"/>
      <c r="J8" s="83"/>
      <c r="K8" s="84"/>
      <c r="N8" s="81"/>
      <c r="O8" s="90" t="s">
        <v>71</v>
      </c>
      <c r="P8" s="89">
        <v>42000</v>
      </c>
      <c r="Q8" s="83"/>
      <c r="R8" s="83"/>
      <c r="T8" s="233" t="s">
        <v>55</v>
      </c>
      <c r="U8" s="234"/>
      <c r="V8" s="84"/>
    </row>
    <row r="9" spans="2:25" ht="39.75" customHeight="1" x14ac:dyDescent="0.25">
      <c r="B9" s="81"/>
      <c r="C9" s="90" t="s">
        <v>48</v>
      </c>
      <c r="D9" s="89">
        <v>0.312</v>
      </c>
      <c r="E9" s="83"/>
      <c r="F9" s="83"/>
      <c r="G9" s="83"/>
      <c r="J9" s="83"/>
      <c r="K9" s="84"/>
      <c r="N9" s="81"/>
      <c r="O9" s="90" t="s">
        <v>72</v>
      </c>
      <c r="P9" s="89">
        <v>0.72</v>
      </c>
      <c r="Q9" s="83"/>
      <c r="R9" s="83"/>
      <c r="T9" s="90" t="s">
        <v>123</v>
      </c>
      <c r="U9" s="89">
        <v>0.37914691943127965</v>
      </c>
      <c r="V9" s="84"/>
    </row>
    <row r="10" spans="2:25" ht="39.75" customHeight="1" thickBot="1" x14ac:dyDescent="0.3">
      <c r="B10" s="81"/>
      <c r="C10" s="240" t="s">
        <v>12</v>
      </c>
      <c r="D10" s="241"/>
      <c r="E10" s="83"/>
      <c r="F10" s="83"/>
      <c r="G10" s="83"/>
      <c r="J10" s="83"/>
      <c r="K10" s="84"/>
      <c r="N10" s="81"/>
      <c r="O10" s="90" t="s">
        <v>73</v>
      </c>
      <c r="P10" s="89">
        <v>1</v>
      </c>
      <c r="Q10" s="83"/>
      <c r="R10" s="83"/>
      <c r="S10" s="83"/>
      <c r="T10" s="92" t="s">
        <v>124</v>
      </c>
      <c r="U10" s="93">
        <v>66.323901080389021</v>
      </c>
      <c r="V10" s="84"/>
    </row>
    <row r="11" spans="2:25" ht="51" customHeight="1" thickTop="1" thickBot="1" x14ac:dyDescent="0.3">
      <c r="B11" s="81"/>
      <c r="C11" s="94" t="s">
        <v>49</v>
      </c>
      <c r="D11" s="89">
        <v>60</v>
      </c>
      <c r="E11" s="83"/>
      <c r="F11" s="83"/>
      <c r="G11" s="83"/>
      <c r="H11" s="83"/>
      <c r="I11" s="83"/>
      <c r="J11" s="83"/>
      <c r="K11" s="84"/>
      <c r="N11" s="81"/>
      <c r="O11" s="95" t="s">
        <v>74</v>
      </c>
      <c r="P11" s="93">
        <v>1</v>
      </c>
      <c r="Q11" s="83"/>
      <c r="R11" s="83"/>
      <c r="S11" s="83"/>
      <c r="T11" s="83"/>
      <c r="U11" s="83"/>
      <c r="V11" s="84"/>
    </row>
    <row r="12" spans="2:25" ht="38.25" customHeight="1" thickTop="1" thickBot="1" x14ac:dyDescent="0.3">
      <c r="B12" s="81"/>
      <c r="C12" s="94" t="s">
        <v>50</v>
      </c>
      <c r="D12" s="89">
        <v>14.7</v>
      </c>
      <c r="E12" s="83"/>
      <c r="F12" s="83"/>
      <c r="G12" s="83"/>
      <c r="H12" s="83"/>
      <c r="I12" s="83"/>
      <c r="J12" s="83"/>
      <c r="K12" s="84"/>
      <c r="N12" s="96"/>
      <c r="O12" s="97"/>
      <c r="P12" s="97"/>
      <c r="Q12" s="97"/>
      <c r="R12" s="97"/>
      <c r="S12" s="97"/>
      <c r="T12" s="97"/>
      <c r="U12" s="97"/>
      <c r="V12" s="98"/>
    </row>
    <row r="13" spans="2:25" ht="38.25" customHeight="1" thickBot="1" x14ac:dyDescent="0.3">
      <c r="B13" s="81"/>
      <c r="C13" s="94" t="s">
        <v>118</v>
      </c>
      <c r="D13" s="89">
        <v>0.87</v>
      </c>
      <c r="E13" s="83"/>
      <c r="F13" s="83"/>
      <c r="G13" s="83"/>
      <c r="H13" s="83"/>
      <c r="I13" s="83"/>
      <c r="J13" s="83"/>
      <c r="K13" s="84"/>
      <c r="N13" s="83"/>
      <c r="O13" s="83"/>
      <c r="P13" s="83"/>
      <c r="Q13" s="83"/>
      <c r="R13" s="83"/>
      <c r="S13" s="83"/>
      <c r="T13" s="83"/>
      <c r="U13" s="83"/>
      <c r="V13" s="83"/>
    </row>
    <row r="14" spans="2:25" ht="39" customHeight="1" thickBot="1" x14ac:dyDescent="0.45">
      <c r="B14" s="81"/>
      <c r="C14" s="94" t="s">
        <v>51</v>
      </c>
      <c r="D14" s="89">
        <v>814.7</v>
      </c>
      <c r="E14" s="83"/>
      <c r="F14" s="83"/>
      <c r="G14" s="83"/>
      <c r="K14" s="84"/>
      <c r="N14" s="259" t="s">
        <v>132</v>
      </c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1"/>
    </row>
    <row r="15" spans="2:25" ht="33.75" customHeight="1" thickBot="1" x14ac:dyDescent="0.4">
      <c r="B15" s="81"/>
      <c r="C15" s="94" t="s">
        <v>52</v>
      </c>
      <c r="D15" s="89">
        <v>814.7</v>
      </c>
      <c r="E15" s="83"/>
      <c r="F15" s="83"/>
      <c r="G15" s="83"/>
      <c r="H15" s="248" t="s">
        <v>10</v>
      </c>
      <c r="I15" s="248"/>
      <c r="J15" s="83"/>
      <c r="K15" s="84"/>
      <c r="N15" s="81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4"/>
    </row>
    <row r="16" spans="2:25" ht="34.5" customHeight="1" thickTop="1" x14ac:dyDescent="0.25">
      <c r="B16" s="81"/>
      <c r="C16" s="94" t="s">
        <v>53</v>
      </c>
      <c r="D16" s="89">
        <v>80</v>
      </c>
      <c r="E16" s="83"/>
      <c r="F16" s="83"/>
      <c r="G16" s="83"/>
      <c r="H16" s="86" t="s">
        <v>59</v>
      </c>
      <c r="I16" s="99">
        <v>0.76322154362122707</v>
      </c>
      <c r="J16" s="83"/>
      <c r="K16" s="84"/>
      <c r="N16" s="81"/>
      <c r="O16" s="100" t="s">
        <v>5</v>
      </c>
      <c r="P16" s="101"/>
      <c r="Q16" s="83"/>
      <c r="R16" s="83"/>
      <c r="S16" s="83"/>
      <c r="T16" s="256" t="s">
        <v>10</v>
      </c>
      <c r="U16" s="257"/>
      <c r="V16" s="257"/>
      <c r="W16" s="257"/>
      <c r="X16" s="258"/>
      <c r="Y16" s="84"/>
    </row>
    <row r="17" spans="2:25" ht="38.25" customHeight="1" x14ac:dyDescent="0.25">
      <c r="B17" s="81"/>
      <c r="C17" s="94" t="s">
        <v>54</v>
      </c>
      <c r="D17" s="89">
        <v>78</v>
      </c>
      <c r="E17" s="83"/>
      <c r="F17" s="83"/>
      <c r="G17" s="83"/>
      <c r="H17" s="90" t="s">
        <v>58</v>
      </c>
      <c r="I17" s="89">
        <v>0.75558836818501485</v>
      </c>
      <c r="J17" s="83"/>
      <c r="K17" s="84"/>
      <c r="N17" s="81"/>
      <c r="O17" s="90" t="s">
        <v>70</v>
      </c>
      <c r="P17" s="91">
        <v>16</v>
      </c>
      <c r="Q17" s="82"/>
      <c r="R17" s="82"/>
      <c r="S17" s="83"/>
      <c r="T17" s="262" t="s">
        <v>76</v>
      </c>
      <c r="U17" s="263"/>
      <c r="V17" s="83"/>
      <c r="W17" s="83"/>
      <c r="X17" s="102"/>
      <c r="Y17" s="84"/>
    </row>
    <row r="18" spans="2:25" ht="38.25" customHeight="1" x14ac:dyDescent="0.25">
      <c r="B18" s="81"/>
      <c r="C18" s="238" t="s">
        <v>63</v>
      </c>
      <c r="D18" s="239"/>
      <c r="E18" s="83"/>
      <c r="F18" s="83"/>
      <c r="G18" s="83"/>
      <c r="H18" s="94" t="s">
        <v>60</v>
      </c>
      <c r="I18" s="89">
        <v>0.7404766008213145</v>
      </c>
      <c r="J18" s="83"/>
      <c r="K18" s="84"/>
      <c r="N18" s="81"/>
      <c r="O18" s="90" t="s">
        <v>134</v>
      </c>
      <c r="P18" s="89">
        <v>42000</v>
      </c>
      <c r="Q18" s="82"/>
      <c r="R18" s="82"/>
      <c r="S18" s="83"/>
      <c r="T18" s="103" t="s">
        <v>77</v>
      </c>
      <c r="U18" s="104">
        <v>1368.336406437407</v>
      </c>
      <c r="V18" s="83"/>
      <c r="W18" s="83"/>
      <c r="X18" s="102"/>
      <c r="Y18" s="84"/>
    </row>
    <row r="19" spans="2:25" ht="49.5" customHeight="1" thickBot="1" x14ac:dyDescent="0.3">
      <c r="B19" s="81"/>
      <c r="C19" s="94" t="s">
        <v>56</v>
      </c>
      <c r="D19" s="89">
        <v>0.01</v>
      </c>
      <c r="E19" s="83"/>
      <c r="F19" s="83"/>
      <c r="G19" s="83"/>
      <c r="H19" s="105" t="s">
        <v>61</v>
      </c>
      <c r="I19" s="93">
        <v>0.7404766008213145</v>
      </c>
      <c r="J19" s="83"/>
      <c r="K19" s="84"/>
      <c r="N19" s="81"/>
      <c r="O19" s="90" t="s">
        <v>73</v>
      </c>
      <c r="P19" s="89">
        <v>1</v>
      </c>
      <c r="Q19" s="83"/>
      <c r="R19" s="83"/>
      <c r="S19" s="83"/>
      <c r="T19" s="106" t="s">
        <v>78</v>
      </c>
      <c r="U19" s="104">
        <v>1140.2803386978392</v>
      </c>
      <c r="V19" s="83"/>
      <c r="W19" s="83"/>
      <c r="X19" s="102"/>
      <c r="Y19" s="84"/>
    </row>
    <row r="20" spans="2:25" ht="54.75" customHeight="1" thickTop="1" x14ac:dyDescent="0.25">
      <c r="B20" s="81"/>
      <c r="C20" s="94" t="s">
        <v>66</v>
      </c>
      <c r="D20" s="89">
        <v>24</v>
      </c>
      <c r="E20" s="83"/>
      <c r="F20" s="83"/>
      <c r="G20" s="83"/>
      <c r="H20" s="83"/>
      <c r="I20" s="83"/>
      <c r="J20" s="83"/>
      <c r="K20" s="84"/>
      <c r="N20" s="81"/>
      <c r="O20" s="90" t="s">
        <v>74</v>
      </c>
      <c r="P20" s="89">
        <v>1</v>
      </c>
      <c r="Q20" s="83"/>
      <c r="R20" s="83"/>
      <c r="S20" s="83"/>
      <c r="T20" s="106" t="s">
        <v>79</v>
      </c>
      <c r="U20" s="104">
        <v>950.23361558153272</v>
      </c>
      <c r="V20" s="83"/>
      <c r="W20" s="83"/>
      <c r="X20" s="102"/>
      <c r="Y20" s="84"/>
    </row>
    <row r="21" spans="2:25" ht="54" customHeight="1" thickBot="1" x14ac:dyDescent="0.3">
      <c r="B21" s="81"/>
      <c r="C21" s="94" t="s">
        <v>57</v>
      </c>
      <c r="D21" s="89">
        <v>0.03</v>
      </c>
      <c r="E21" s="83"/>
      <c r="F21" s="83"/>
      <c r="G21" s="83"/>
      <c r="H21" s="83"/>
      <c r="I21" s="83"/>
      <c r="J21" s="83"/>
      <c r="K21" s="84"/>
      <c r="N21" s="81"/>
      <c r="O21" s="105" t="s">
        <v>126</v>
      </c>
      <c r="P21" s="107">
        <v>0.37914999999999999</v>
      </c>
      <c r="Q21" s="83"/>
      <c r="R21" s="83"/>
      <c r="S21" s="83"/>
      <c r="T21" s="106" t="s">
        <v>80</v>
      </c>
      <c r="U21" s="104">
        <v>760.18689246522615</v>
      </c>
      <c r="V21" s="83"/>
      <c r="W21" s="83"/>
      <c r="X21" s="102"/>
      <c r="Y21" s="84"/>
    </row>
    <row r="22" spans="2:25" ht="54" customHeight="1" thickTop="1" x14ac:dyDescent="0.25">
      <c r="B22" s="81"/>
      <c r="C22" s="94" t="s">
        <v>65</v>
      </c>
      <c r="D22" s="89">
        <v>24</v>
      </c>
      <c r="E22" s="83"/>
      <c r="F22" s="83"/>
      <c r="G22" s="83"/>
      <c r="H22" s="83"/>
      <c r="I22" s="83"/>
      <c r="J22" s="83"/>
      <c r="K22" s="84"/>
      <c r="N22" s="81"/>
      <c r="O22" s="83"/>
      <c r="P22" s="83"/>
      <c r="Q22" s="83"/>
      <c r="R22" s="83"/>
      <c r="S22" s="83"/>
      <c r="T22" s="252" t="s">
        <v>81</v>
      </c>
      <c r="U22" s="253"/>
      <c r="V22" s="254"/>
      <c r="W22" s="254"/>
      <c r="X22" s="255"/>
      <c r="Y22" s="84"/>
    </row>
    <row r="23" spans="2:25" ht="48.75" customHeight="1" x14ac:dyDescent="0.25">
      <c r="B23" s="81"/>
      <c r="C23" s="94" t="s">
        <v>119</v>
      </c>
      <c r="D23" s="89">
        <v>1</v>
      </c>
      <c r="E23" s="83"/>
      <c r="F23" s="83"/>
      <c r="G23" s="83"/>
      <c r="H23" s="83"/>
      <c r="I23" s="83"/>
      <c r="J23" s="83"/>
      <c r="K23" s="84"/>
      <c r="N23" s="81"/>
      <c r="O23" s="83"/>
      <c r="P23" s="83"/>
      <c r="Q23" s="83"/>
      <c r="R23" s="83"/>
      <c r="S23" s="83"/>
      <c r="T23" s="108"/>
      <c r="U23" s="109" t="s">
        <v>128</v>
      </c>
      <c r="V23" s="110" t="s">
        <v>129</v>
      </c>
      <c r="W23" s="109" t="s">
        <v>130</v>
      </c>
      <c r="X23" s="89" t="s">
        <v>131</v>
      </c>
      <c r="Y23" s="84"/>
    </row>
    <row r="24" spans="2:25" ht="33.75" customHeight="1" x14ac:dyDescent="0.25">
      <c r="B24" s="81"/>
      <c r="C24" s="94" t="s">
        <v>64</v>
      </c>
      <c r="D24" s="89">
        <v>2</v>
      </c>
      <c r="E24" s="83"/>
      <c r="F24" s="83"/>
      <c r="G24" s="83"/>
      <c r="H24" s="83"/>
      <c r="I24" s="83"/>
      <c r="J24" s="83"/>
      <c r="K24" s="84"/>
      <c r="N24" s="81"/>
      <c r="O24" s="83"/>
      <c r="P24" s="83"/>
      <c r="Q24" s="83"/>
      <c r="R24" s="83"/>
      <c r="S24" s="83"/>
      <c r="T24" s="111" t="s">
        <v>133</v>
      </c>
      <c r="U24" s="109">
        <v>1710.4205080467589</v>
      </c>
      <c r="V24" s="109">
        <v>1425.350423372299</v>
      </c>
      <c r="W24" s="109">
        <v>1187.7920194769158</v>
      </c>
      <c r="X24" s="89">
        <v>950.23361558153272</v>
      </c>
      <c r="Y24" s="84"/>
    </row>
    <row r="25" spans="2:25" ht="32.25" customHeight="1" thickBot="1" x14ac:dyDescent="0.3">
      <c r="B25" s="81"/>
      <c r="C25" s="105" t="s">
        <v>68</v>
      </c>
      <c r="D25" s="93">
        <v>0</v>
      </c>
      <c r="E25" s="83"/>
      <c r="F25" s="83"/>
      <c r="G25" s="83"/>
      <c r="H25" s="83"/>
      <c r="I25" s="83"/>
      <c r="J25" s="83"/>
      <c r="K25" s="84"/>
      <c r="N25" s="81"/>
      <c r="O25" s="83"/>
      <c r="P25" s="83"/>
      <c r="Q25" s="83"/>
      <c r="R25" s="83"/>
      <c r="S25" s="83"/>
      <c r="T25" s="111" t="s">
        <v>127</v>
      </c>
      <c r="U25" s="109">
        <v>1805.4438696049122</v>
      </c>
      <c r="V25" s="109">
        <v>1504.5365580040934</v>
      </c>
      <c r="W25" s="112">
        <v>1253.7804650034111</v>
      </c>
      <c r="X25" s="113">
        <v>1003.024372002729</v>
      </c>
      <c r="Y25" s="84"/>
    </row>
    <row r="26" spans="2:25" ht="36.75" customHeight="1" thickTop="1" thickBot="1" x14ac:dyDescent="0.3">
      <c r="B26" s="81"/>
      <c r="C26" s="83"/>
      <c r="D26" s="83"/>
      <c r="E26" s="83"/>
      <c r="F26" s="83"/>
      <c r="G26" s="83"/>
      <c r="H26" s="83"/>
      <c r="I26" s="83"/>
      <c r="J26" s="83"/>
      <c r="K26" s="84"/>
      <c r="N26" s="81"/>
      <c r="O26" s="83"/>
      <c r="P26" s="83"/>
      <c r="Q26" s="83"/>
      <c r="R26" s="83"/>
      <c r="S26" s="83"/>
      <c r="T26" s="114" t="s">
        <v>82</v>
      </c>
      <c r="U26" s="115">
        <v>1900.4672311630654</v>
      </c>
      <c r="V26" s="115">
        <v>1583.7226926358878</v>
      </c>
      <c r="W26" s="115">
        <v>1319.7689105299064</v>
      </c>
      <c r="X26" s="93">
        <v>1055.8151284239252</v>
      </c>
      <c r="Y26" s="84"/>
    </row>
    <row r="27" spans="2:25" ht="16.5" thickTop="1" thickBot="1" x14ac:dyDescent="0.3">
      <c r="B27" s="96"/>
      <c r="C27" s="97"/>
      <c r="D27" s="97"/>
      <c r="E27" s="97"/>
      <c r="F27" s="97"/>
      <c r="G27" s="97"/>
      <c r="H27" s="97"/>
      <c r="I27" s="97"/>
      <c r="J27" s="97"/>
      <c r="K27" s="98"/>
      <c r="N27" s="81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4"/>
    </row>
    <row r="28" spans="2:25" ht="36" customHeight="1" thickBot="1" x14ac:dyDescent="0.3">
      <c r="N28" s="96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8"/>
    </row>
    <row r="33" spans="2:8" ht="15.75" thickBot="1" x14ac:dyDescent="0.3"/>
    <row r="34" spans="2:8" ht="21.75" thickBot="1" x14ac:dyDescent="0.4">
      <c r="B34" s="264" t="s">
        <v>83</v>
      </c>
      <c r="C34" s="265"/>
      <c r="D34" s="265"/>
      <c r="E34" s="265"/>
      <c r="F34" s="266"/>
      <c r="G34" s="116"/>
      <c r="H34" s="116"/>
    </row>
    <row r="35" spans="2:8" ht="18.75" x14ac:dyDescent="0.3">
      <c r="B35" s="81"/>
      <c r="C35" s="242" t="s">
        <v>84</v>
      </c>
      <c r="D35" s="243"/>
      <c r="E35" s="244"/>
      <c r="F35" s="84"/>
    </row>
    <row r="36" spans="2:8" ht="31.5" x14ac:dyDescent="0.25">
      <c r="B36" s="81"/>
      <c r="C36" s="117" t="s">
        <v>85</v>
      </c>
      <c r="D36" s="118" t="s">
        <v>86</v>
      </c>
      <c r="E36" s="119" t="s">
        <v>121</v>
      </c>
      <c r="F36" s="84"/>
    </row>
    <row r="37" spans="2:8" x14ac:dyDescent="0.25">
      <c r="B37" s="81"/>
      <c r="C37" s="120" t="s">
        <v>87</v>
      </c>
      <c r="D37" s="121" t="s">
        <v>101</v>
      </c>
      <c r="E37" s="122">
        <v>1</v>
      </c>
      <c r="F37" s="84"/>
    </row>
    <row r="38" spans="2:8" ht="30" x14ac:dyDescent="0.25">
      <c r="B38" s="81"/>
      <c r="C38" s="120"/>
      <c r="D38" s="121" t="s">
        <v>102</v>
      </c>
      <c r="E38" s="122">
        <v>1</v>
      </c>
      <c r="F38" s="84"/>
    </row>
    <row r="39" spans="2:8" x14ac:dyDescent="0.25">
      <c r="B39" s="81"/>
      <c r="C39" s="120"/>
      <c r="D39" s="121" t="s">
        <v>103</v>
      </c>
      <c r="E39" s="122">
        <v>0.8</v>
      </c>
      <c r="F39" s="84"/>
    </row>
    <row r="40" spans="2:8" x14ac:dyDescent="0.25">
      <c r="B40" s="81"/>
      <c r="C40" s="123"/>
      <c r="D40" s="124" t="s">
        <v>104</v>
      </c>
      <c r="E40" s="125">
        <v>0.6</v>
      </c>
      <c r="F40" s="84"/>
    </row>
    <row r="41" spans="2:8" x14ac:dyDescent="0.25">
      <c r="B41" s="81"/>
      <c r="C41" s="126" t="s">
        <v>88</v>
      </c>
      <c r="D41" s="127" t="s">
        <v>101</v>
      </c>
      <c r="E41" s="128">
        <v>1</v>
      </c>
      <c r="F41" s="84"/>
    </row>
    <row r="42" spans="2:8" ht="30" x14ac:dyDescent="0.25">
      <c r="B42" s="81"/>
      <c r="C42" s="126" t="s">
        <v>89</v>
      </c>
      <c r="D42" s="127" t="s">
        <v>105</v>
      </c>
      <c r="E42" s="128">
        <v>0.8</v>
      </c>
      <c r="F42" s="84"/>
    </row>
    <row r="43" spans="2:8" ht="30" x14ac:dyDescent="0.25">
      <c r="B43" s="81"/>
      <c r="C43" s="126" t="s">
        <v>90</v>
      </c>
      <c r="D43" s="127" t="s">
        <v>102</v>
      </c>
      <c r="E43" s="128">
        <v>1</v>
      </c>
      <c r="F43" s="84"/>
    </row>
    <row r="44" spans="2:8" x14ac:dyDescent="0.25">
      <c r="B44" s="81"/>
      <c r="C44" s="126" t="s">
        <v>91</v>
      </c>
      <c r="D44" s="127" t="s">
        <v>106</v>
      </c>
      <c r="E44" s="128">
        <v>0.8</v>
      </c>
      <c r="F44" s="84"/>
    </row>
    <row r="45" spans="2:8" x14ac:dyDescent="0.25">
      <c r="B45" s="81"/>
      <c r="C45" s="126" t="s">
        <v>92</v>
      </c>
      <c r="D45" s="127" t="s">
        <v>107</v>
      </c>
      <c r="E45" s="128">
        <v>0.8</v>
      </c>
      <c r="F45" s="84"/>
    </row>
    <row r="46" spans="2:8" x14ac:dyDescent="0.25">
      <c r="B46" s="81"/>
      <c r="C46" s="126" t="s">
        <v>93</v>
      </c>
      <c r="D46" s="127" t="s">
        <v>101</v>
      </c>
      <c r="E46" s="128">
        <v>1</v>
      </c>
      <c r="F46" s="84"/>
    </row>
    <row r="47" spans="2:8" x14ac:dyDescent="0.25">
      <c r="B47" s="81"/>
      <c r="C47" s="126" t="s">
        <v>93</v>
      </c>
      <c r="D47" s="127" t="s">
        <v>108</v>
      </c>
      <c r="E47" s="128">
        <v>1</v>
      </c>
      <c r="F47" s="84"/>
    </row>
    <row r="48" spans="2:8" ht="30" x14ac:dyDescent="0.25">
      <c r="B48" s="81"/>
      <c r="C48" s="123" t="s">
        <v>94</v>
      </c>
      <c r="D48" s="129" t="s">
        <v>109</v>
      </c>
      <c r="E48" s="125">
        <v>1</v>
      </c>
      <c r="F48" s="84"/>
    </row>
    <row r="49" spans="2:6" x14ac:dyDescent="0.25">
      <c r="B49" s="81"/>
      <c r="C49" s="126" t="s">
        <v>95</v>
      </c>
      <c r="D49" s="127" t="s">
        <v>106</v>
      </c>
      <c r="E49" s="128">
        <v>1</v>
      </c>
      <c r="F49" s="84"/>
    </row>
    <row r="50" spans="2:6" x14ac:dyDescent="0.25">
      <c r="B50" s="81"/>
      <c r="C50" s="126" t="s">
        <v>96</v>
      </c>
      <c r="D50" s="127" t="s">
        <v>106</v>
      </c>
      <c r="E50" s="128">
        <v>1</v>
      </c>
      <c r="F50" s="84"/>
    </row>
    <row r="51" spans="2:6" x14ac:dyDescent="0.25">
      <c r="B51" s="81"/>
      <c r="C51" s="126" t="s">
        <v>97</v>
      </c>
      <c r="D51" s="127" t="s">
        <v>106</v>
      </c>
      <c r="E51" s="128">
        <v>1</v>
      </c>
      <c r="F51" s="84"/>
    </row>
    <row r="52" spans="2:6" x14ac:dyDescent="0.25">
      <c r="B52" s="81"/>
      <c r="C52" s="130" t="s">
        <v>98</v>
      </c>
      <c r="D52" s="131" t="s">
        <v>101</v>
      </c>
      <c r="E52" s="132">
        <v>1</v>
      </c>
      <c r="F52" s="84"/>
    </row>
    <row r="53" spans="2:6" ht="30" x14ac:dyDescent="0.25">
      <c r="B53" s="81"/>
      <c r="C53" s="120"/>
      <c r="D53" s="133" t="s">
        <v>102</v>
      </c>
      <c r="E53" s="122">
        <v>1</v>
      </c>
      <c r="F53" s="84"/>
    </row>
    <row r="54" spans="2:6" x14ac:dyDescent="0.25">
      <c r="B54" s="81"/>
      <c r="C54" s="120"/>
      <c r="D54" s="133" t="s">
        <v>110</v>
      </c>
      <c r="E54" s="122">
        <v>1</v>
      </c>
      <c r="F54" s="84"/>
    </row>
    <row r="55" spans="2:6" x14ac:dyDescent="0.25">
      <c r="B55" s="81"/>
      <c r="C55" s="120"/>
      <c r="D55" s="133" t="s">
        <v>111</v>
      </c>
      <c r="E55" s="122">
        <v>1</v>
      </c>
      <c r="F55" s="84"/>
    </row>
    <row r="56" spans="2:6" x14ac:dyDescent="0.25">
      <c r="B56" s="81"/>
      <c r="C56" s="120"/>
      <c r="D56" s="133" t="s">
        <v>103</v>
      </c>
      <c r="E56" s="122">
        <v>0.8</v>
      </c>
      <c r="F56" s="84"/>
    </row>
    <row r="57" spans="2:6" x14ac:dyDescent="0.25">
      <c r="B57" s="81"/>
      <c r="C57" s="123"/>
      <c r="D57" s="129" t="s">
        <v>104</v>
      </c>
      <c r="E57" s="125">
        <v>0.6</v>
      </c>
      <c r="F57" s="84"/>
    </row>
    <row r="58" spans="2:6" x14ac:dyDescent="0.25">
      <c r="B58" s="81"/>
      <c r="C58" s="130" t="s">
        <v>99</v>
      </c>
      <c r="D58" s="131" t="s">
        <v>101</v>
      </c>
      <c r="E58" s="132">
        <v>1</v>
      </c>
      <c r="F58" s="84"/>
    </row>
    <row r="59" spans="2:6" ht="30" x14ac:dyDescent="0.25">
      <c r="B59" s="81"/>
      <c r="C59" s="120"/>
      <c r="D59" s="133" t="s">
        <v>102</v>
      </c>
      <c r="E59" s="122">
        <v>1</v>
      </c>
      <c r="F59" s="84"/>
    </row>
    <row r="60" spans="2:6" x14ac:dyDescent="0.25">
      <c r="B60" s="81"/>
      <c r="C60" s="120"/>
      <c r="D60" s="133" t="s">
        <v>110</v>
      </c>
      <c r="E60" s="122">
        <v>1</v>
      </c>
      <c r="F60" s="84"/>
    </row>
    <row r="61" spans="2:6" x14ac:dyDescent="0.25">
      <c r="B61" s="81"/>
      <c r="C61" s="123"/>
      <c r="D61" s="129" t="s">
        <v>111</v>
      </c>
      <c r="E61" s="125">
        <v>1</v>
      </c>
      <c r="F61" s="84"/>
    </row>
    <row r="62" spans="2:6" ht="30" x14ac:dyDescent="0.25">
      <c r="B62" s="81"/>
      <c r="C62" s="120" t="s">
        <v>100</v>
      </c>
      <c r="D62" s="133" t="s">
        <v>102</v>
      </c>
      <c r="E62" s="122">
        <v>1</v>
      </c>
      <c r="F62" s="84"/>
    </row>
    <row r="63" spans="2:6" ht="15.75" thickBot="1" x14ac:dyDescent="0.3">
      <c r="B63" s="81"/>
      <c r="C63" s="134"/>
      <c r="D63" s="135" t="s">
        <v>111</v>
      </c>
      <c r="E63" s="136">
        <v>1</v>
      </c>
      <c r="F63" s="84"/>
    </row>
    <row r="64" spans="2:6" ht="15.75" thickTop="1" x14ac:dyDescent="0.25">
      <c r="B64" s="81"/>
      <c r="C64" s="137"/>
      <c r="D64" s="138"/>
      <c r="E64" s="139"/>
      <c r="F64" s="84"/>
    </row>
    <row r="65" spans="2:6" ht="15.75" x14ac:dyDescent="0.25">
      <c r="B65" s="81"/>
      <c r="C65" s="245" t="s">
        <v>120</v>
      </c>
      <c r="D65" s="246"/>
      <c r="E65" s="247"/>
      <c r="F65" s="84"/>
    </row>
    <row r="66" spans="2:6" ht="30" x14ac:dyDescent="0.25">
      <c r="B66" s="81"/>
      <c r="C66" s="140" t="s">
        <v>114</v>
      </c>
      <c r="D66" s="141" t="s">
        <v>115</v>
      </c>
      <c r="E66" s="91" t="s">
        <v>113</v>
      </c>
      <c r="F66" s="84"/>
    </row>
    <row r="67" spans="2:6" x14ac:dyDescent="0.25">
      <c r="B67" s="81"/>
      <c r="C67" s="142" t="s">
        <v>116</v>
      </c>
      <c r="D67" s="143" t="s">
        <v>117</v>
      </c>
      <c r="E67" s="144">
        <v>1</v>
      </c>
      <c r="F67" s="84"/>
    </row>
    <row r="68" spans="2:6" x14ac:dyDescent="0.25">
      <c r="B68" s="81"/>
      <c r="C68" s="142">
        <v>300</v>
      </c>
      <c r="D68" s="143">
        <v>149</v>
      </c>
      <c r="E68" s="144">
        <v>0.96699999999999997</v>
      </c>
      <c r="F68" s="84"/>
    </row>
    <row r="69" spans="2:6" x14ac:dyDescent="0.25">
      <c r="B69" s="81"/>
      <c r="C69" s="142">
        <v>350</v>
      </c>
      <c r="D69" s="143">
        <v>177</v>
      </c>
      <c r="E69" s="89">
        <v>3.3000000000000002E-2</v>
      </c>
      <c r="F69" s="84"/>
    </row>
    <row r="70" spans="2:6" x14ac:dyDescent="0.25">
      <c r="B70" s="81"/>
      <c r="C70" s="142">
        <v>400</v>
      </c>
      <c r="D70" s="143">
        <v>204</v>
      </c>
      <c r="E70" s="144">
        <v>0.9</v>
      </c>
      <c r="F70" s="84"/>
    </row>
    <row r="71" spans="2:6" ht="15.75" thickBot="1" x14ac:dyDescent="0.3">
      <c r="B71" s="81"/>
      <c r="C71" s="145">
        <v>450</v>
      </c>
      <c r="D71" s="146">
        <v>232</v>
      </c>
      <c r="E71" s="147">
        <v>0.86699999999999999</v>
      </c>
      <c r="F71" s="84"/>
    </row>
    <row r="72" spans="2:6" ht="16.5" thickTop="1" x14ac:dyDescent="0.25">
      <c r="B72" s="81"/>
      <c r="C72" s="245" t="s">
        <v>75</v>
      </c>
      <c r="D72" s="246"/>
      <c r="E72" s="247"/>
      <c r="F72" s="84"/>
    </row>
    <row r="73" spans="2:6" x14ac:dyDescent="0.25">
      <c r="B73" s="81"/>
      <c r="C73" s="140" t="s">
        <v>112</v>
      </c>
      <c r="D73" s="141" t="s">
        <v>122</v>
      </c>
      <c r="E73" s="102"/>
      <c r="F73" s="84"/>
    </row>
    <row r="74" spans="2:6" x14ac:dyDescent="0.25">
      <c r="B74" s="81"/>
      <c r="C74" s="142">
        <v>1</v>
      </c>
      <c r="D74" s="143">
        <v>0.72</v>
      </c>
      <c r="E74" s="102"/>
      <c r="F74" s="84"/>
    </row>
    <row r="75" spans="2:6" x14ac:dyDescent="0.25">
      <c r="B75" s="81"/>
      <c r="C75" s="142">
        <v>2</v>
      </c>
      <c r="D75" s="143">
        <v>0.6</v>
      </c>
      <c r="E75" s="102"/>
      <c r="F75" s="84"/>
    </row>
    <row r="76" spans="2:6" x14ac:dyDescent="0.25">
      <c r="B76" s="81"/>
      <c r="C76" s="142">
        <v>3</v>
      </c>
      <c r="D76" s="143">
        <v>0.5</v>
      </c>
      <c r="E76" s="102"/>
      <c r="F76" s="84"/>
    </row>
    <row r="77" spans="2:6" ht="15.75" thickBot="1" x14ac:dyDescent="0.3">
      <c r="B77" s="81"/>
      <c r="C77" s="145">
        <v>4</v>
      </c>
      <c r="D77" s="146">
        <v>0.4</v>
      </c>
      <c r="E77" s="148"/>
      <c r="F77" s="84"/>
    </row>
    <row r="78" spans="2:6" ht="15.75" thickTop="1" x14ac:dyDescent="0.25">
      <c r="B78" s="81"/>
      <c r="C78" s="149"/>
      <c r="D78" s="149"/>
      <c r="E78" s="83"/>
      <c r="F78" s="84"/>
    </row>
    <row r="79" spans="2:6" ht="15.75" thickBot="1" x14ac:dyDescent="0.3">
      <c r="B79" s="96"/>
      <c r="C79" s="97"/>
      <c r="D79" s="97"/>
      <c r="E79" s="97"/>
      <c r="F79" s="98"/>
    </row>
  </sheetData>
  <mergeCells count="16">
    <mergeCell ref="T22:X22"/>
    <mergeCell ref="T16:X16"/>
    <mergeCell ref="N14:Y14"/>
    <mergeCell ref="T17:U17"/>
    <mergeCell ref="B34:F34"/>
    <mergeCell ref="C35:E35"/>
    <mergeCell ref="C72:E72"/>
    <mergeCell ref="C65:E65"/>
    <mergeCell ref="H15:I15"/>
    <mergeCell ref="B3:K3"/>
    <mergeCell ref="N3:V3"/>
    <mergeCell ref="T8:U8"/>
    <mergeCell ref="C5:D5"/>
    <mergeCell ref="C6:D6"/>
    <mergeCell ref="C18:D18"/>
    <mergeCell ref="C10:D1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Linepack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Wallthickness">
                <anchor moveWithCells="1" sizeWithCells="1">
                  <from>
                    <xdr:col>16</xdr:col>
                    <xdr:colOff>476250</xdr:colOff>
                    <xdr:row>5</xdr:row>
                    <xdr:rowOff>485775</xdr:rowOff>
                  </from>
                  <to>
                    <xdr:col>18</xdr:col>
                    <xdr:colOff>57150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MAOP">
                <anchor moveWithCells="1" sizeWithCells="1">
                  <from>
                    <xdr:col>16</xdr:col>
                    <xdr:colOff>504825</xdr:colOff>
                    <xdr:row>15</xdr:row>
                    <xdr:rowOff>409575</xdr:rowOff>
                  </from>
                  <to>
                    <xdr:col>18</xdr:col>
                    <xdr:colOff>28575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R50"/>
  <sheetViews>
    <sheetView tabSelected="1" zoomScale="60" zoomScaleNormal="60" zoomScaleSheetLayoutView="106" workbookViewId="0">
      <selection activeCell="M12" sqref="M12"/>
    </sheetView>
  </sheetViews>
  <sheetFormatPr defaultRowHeight="15" x14ac:dyDescent="0.25"/>
  <cols>
    <col min="3" max="3" width="34.85546875" customWidth="1"/>
    <col min="4" max="4" width="19.28515625" customWidth="1"/>
    <col min="5" max="5" width="13.85546875" customWidth="1"/>
    <col min="6" max="6" width="12.28515625" customWidth="1"/>
    <col min="7" max="7" width="12.85546875" customWidth="1"/>
    <col min="8" max="8" width="26.140625" customWidth="1"/>
    <col min="9" max="9" width="30.42578125" customWidth="1"/>
    <col min="11" max="11" width="12.28515625" customWidth="1"/>
    <col min="12" max="12" width="13.28515625" customWidth="1"/>
    <col min="13" max="13" width="13.7109375" customWidth="1"/>
    <col min="17" max="17" width="12.42578125" customWidth="1"/>
  </cols>
  <sheetData>
    <row r="2" spans="3:9" x14ac:dyDescent="0.25">
      <c r="I2" s="150"/>
    </row>
    <row r="3" spans="3:9" ht="15.75" thickBot="1" x14ac:dyDescent="0.3">
      <c r="C3" s="268" t="s">
        <v>135</v>
      </c>
      <c r="D3" s="268"/>
    </row>
    <row r="4" spans="3:9" ht="15.75" thickTop="1" x14ac:dyDescent="0.25">
      <c r="C4" s="26" t="s">
        <v>136</v>
      </c>
      <c r="D4" s="24"/>
    </row>
    <row r="5" spans="3:9" ht="15.75" thickBot="1" x14ac:dyDescent="0.3">
      <c r="C5" s="28" t="s">
        <v>137</v>
      </c>
      <c r="D5" s="23"/>
    </row>
    <row r="6" spans="3:9" ht="15.75" thickTop="1" x14ac:dyDescent="0.25"/>
    <row r="9" spans="3:9" ht="19.5" thickBot="1" x14ac:dyDescent="0.35">
      <c r="C9" s="267" t="s">
        <v>5</v>
      </c>
      <c r="D9" s="267"/>
    </row>
    <row r="10" spans="3:9" ht="35.25" customHeight="1" thickTop="1" thickBot="1" x14ac:dyDescent="0.4">
      <c r="C10" s="212" t="s">
        <v>139</v>
      </c>
      <c r="D10" s="206">
        <v>9000000</v>
      </c>
      <c r="H10" s="269" t="s">
        <v>153</v>
      </c>
      <c r="I10" s="270"/>
    </row>
    <row r="11" spans="3:9" ht="54" customHeight="1" x14ac:dyDescent="0.25">
      <c r="C11" s="209" t="s">
        <v>144</v>
      </c>
      <c r="D11" s="21">
        <v>1200</v>
      </c>
      <c r="H11" s="205" t="s">
        <v>246</v>
      </c>
      <c r="I11" s="204">
        <v>181.57405902294568</v>
      </c>
    </row>
    <row r="12" spans="3:9" ht="55.5" customHeight="1" x14ac:dyDescent="0.25">
      <c r="C12" s="211" t="s">
        <v>138</v>
      </c>
      <c r="D12" s="21">
        <v>30</v>
      </c>
      <c r="H12" s="17" t="s">
        <v>248</v>
      </c>
      <c r="I12" s="214">
        <v>163.90611832334196</v>
      </c>
    </row>
    <row r="13" spans="3:9" ht="39.75" customHeight="1" x14ac:dyDescent="0.25">
      <c r="C13" s="209" t="s">
        <v>254</v>
      </c>
      <c r="D13" s="21">
        <f>60+460</f>
        <v>520</v>
      </c>
      <c r="H13" s="17" t="s">
        <v>141</v>
      </c>
      <c r="I13" s="21">
        <v>3</v>
      </c>
    </row>
    <row r="14" spans="3:9" ht="45" x14ac:dyDescent="0.25">
      <c r="C14" s="209" t="s">
        <v>50</v>
      </c>
      <c r="D14" s="21">
        <v>14.73</v>
      </c>
      <c r="H14" s="27" t="s">
        <v>164</v>
      </c>
      <c r="I14" s="207">
        <v>2810991.7680180934</v>
      </c>
    </row>
    <row r="15" spans="3:9" ht="54" customHeight="1" x14ac:dyDescent="0.25">
      <c r="C15" s="209" t="s">
        <v>140</v>
      </c>
      <c r="D15" s="21">
        <v>600</v>
      </c>
      <c r="H15" s="27" t="s">
        <v>149</v>
      </c>
      <c r="I15" s="207">
        <v>3094504.1159909531</v>
      </c>
    </row>
    <row r="16" spans="3:9" ht="54.75" customHeight="1" x14ac:dyDescent="0.25">
      <c r="C16" s="210" t="s">
        <v>142</v>
      </c>
      <c r="D16" s="21">
        <v>175</v>
      </c>
      <c r="H16" s="27" t="s">
        <v>249</v>
      </c>
      <c r="I16" s="21">
        <v>1.7713311443170354</v>
      </c>
    </row>
    <row r="17" spans="2:18" ht="41.25" customHeight="1" x14ac:dyDescent="0.25">
      <c r="C17" s="209" t="s">
        <v>15</v>
      </c>
      <c r="D17" s="21">
        <v>0.52</v>
      </c>
      <c r="H17" s="27" t="s">
        <v>146</v>
      </c>
      <c r="I17" s="21">
        <v>7.0853245772681417</v>
      </c>
    </row>
    <row r="18" spans="2:18" ht="51.75" customHeight="1" thickBot="1" x14ac:dyDescent="0.3">
      <c r="C18" s="209" t="s">
        <v>253</v>
      </c>
      <c r="D18" s="21">
        <v>528</v>
      </c>
      <c r="H18" s="29" t="s">
        <v>147</v>
      </c>
      <c r="I18" s="208">
        <v>21921.027770632973</v>
      </c>
    </row>
    <row r="19" spans="2:18" ht="45.75" customHeight="1" thickTop="1" x14ac:dyDescent="0.25">
      <c r="B19" s="34"/>
      <c r="C19" s="209" t="s">
        <v>252</v>
      </c>
      <c r="D19" s="21">
        <f>68+460</f>
        <v>528</v>
      </c>
    </row>
    <row r="20" spans="2:18" ht="56.25" customHeight="1" x14ac:dyDescent="0.25">
      <c r="B20" s="34"/>
      <c r="C20" s="209" t="s">
        <v>251</v>
      </c>
      <c r="D20" s="21">
        <v>600</v>
      </c>
    </row>
    <row r="21" spans="2:18" ht="39.75" customHeight="1" x14ac:dyDescent="0.25">
      <c r="C21" s="209" t="s">
        <v>250</v>
      </c>
      <c r="D21" s="21">
        <v>538</v>
      </c>
    </row>
    <row r="22" spans="2:18" ht="22.5" customHeight="1" x14ac:dyDescent="0.25">
      <c r="C22" s="209" t="s">
        <v>143</v>
      </c>
      <c r="D22" s="21">
        <v>10</v>
      </c>
    </row>
    <row r="23" spans="2:18" ht="39.75" customHeight="1" x14ac:dyDescent="0.25">
      <c r="C23" s="209" t="s">
        <v>145</v>
      </c>
      <c r="D23" s="21">
        <v>600</v>
      </c>
      <c r="L23" s="33"/>
    </row>
    <row r="24" spans="2:18" ht="34.5" customHeight="1" thickBot="1" x14ac:dyDescent="0.3">
      <c r="C24" s="213" t="s">
        <v>148</v>
      </c>
      <c r="D24" s="23">
        <v>1.4</v>
      </c>
    </row>
    <row r="25" spans="2:18" ht="30" customHeight="1" thickTop="1" thickBot="1" x14ac:dyDescent="0.3"/>
    <row r="26" spans="2:18" ht="27.75" customHeight="1" thickBot="1" x14ac:dyDescent="0.3">
      <c r="B26" s="271" t="s">
        <v>247</v>
      </c>
      <c r="C26" s="272"/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3"/>
    </row>
    <row r="27" spans="2:18" x14ac:dyDescent="0.25">
      <c r="B27" s="11"/>
      <c r="C27" s="30" t="s">
        <v>166</v>
      </c>
      <c r="D27" s="6">
        <v>12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2"/>
    </row>
    <row r="28" spans="2:18" x14ac:dyDescent="0.25">
      <c r="B28" s="11"/>
      <c r="C28" s="30" t="s">
        <v>161</v>
      </c>
      <c r="D28" s="6">
        <v>14.7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2"/>
    </row>
    <row r="29" spans="2:18" x14ac:dyDescent="0.25">
      <c r="B29" s="11"/>
      <c r="C29" s="30" t="s">
        <v>160</v>
      </c>
      <c r="D29" s="31">
        <v>60</v>
      </c>
      <c r="E29" s="31"/>
      <c r="F29" s="31"/>
      <c r="G29" s="31"/>
      <c r="H29" s="31"/>
      <c r="I29" s="6"/>
      <c r="J29" s="6"/>
      <c r="K29" s="6"/>
      <c r="L29" s="6"/>
      <c r="M29" s="6"/>
      <c r="N29" s="6"/>
      <c r="O29" s="6"/>
      <c r="P29" s="6"/>
      <c r="Q29" s="6"/>
      <c r="R29" s="2"/>
    </row>
    <row r="30" spans="2:18" ht="45.75" customHeight="1" thickBot="1" x14ac:dyDescent="0.3">
      <c r="B30" s="11"/>
      <c r="C30" s="30"/>
      <c r="D30" s="31"/>
      <c r="E30" s="31"/>
      <c r="F30" s="31"/>
      <c r="G30" s="31"/>
      <c r="H30" s="31"/>
      <c r="I30" s="6"/>
      <c r="J30" s="6"/>
      <c r="K30" s="6"/>
      <c r="L30" s="6"/>
      <c r="M30" s="6"/>
      <c r="N30" s="6"/>
      <c r="O30" s="6"/>
      <c r="P30" s="6"/>
      <c r="Q30" s="6"/>
      <c r="R30" s="2"/>
    </row>
    <row r="31" spans="2:18" ht="15.75" thickBot="1" x14ac:dyDescent="0.3">
      <c r="B31" s="11"/>
      <c r="C31" s="274" t="s">
        <v>192</v>
      </c>
      <c r="D31" s="275"/>
      <c r="E31" s="275"/>
      <c r="F31" s="275"/>
      <c r="G31" s="275"/>
      <c r="H31" s="275"/>
      <c r="I31" s="275"/>
      <c r="J31" s="275"/>
      <c r="K31" s="275"/>
      <c r="L31" s="276"/>
      <c r="M31" s="277" t="s">
        <v>193</v>
      </c>
      <c r="N31" s="278"/>
      <c r="O31" s="278"/>
      <c r="P31" s="278"/>
      <c r="Q31" s="279"/>
      <c r="R31" s="2"/>
    </row>
    <row r="32" spans="2:18" ht="75" x14ac:dyDescent="0.25">
      <c r="B32" s="11"/>
      <c r="C32" s="69" t="s">
        <v>150</v>
      </c>
      <c r="D32" s="70" t="s">
        <v>155</v>
      </c>
      <c r="E32" s="70" t="s">
        <v>157</v>
      </c>
      <c r="F32" s="71" t="s">
        <v>255</v>
      </c>
      <c r="G32" s="70" t="s">
        <v>158</v>
      </c>
      <c r="H32" s="70" t="s">
        <v>159</v>
      </c>
      <c r="I32" s="70" t="s">
        <v>151</v>
      </c>
      <c r="J32" s="72" t="s">
        <v>152</v>
      </c>
      <c r="K32" s="73" t="s">
        <v>143</v>
      </c>
      <c r="L32" s="74" t="s">
        <v>154</v>
      </c>
      <c r="M32" s="69" t="s">
        <v>156</v>
      </c>
      <c r="N32" s="75" t="s">
        <v>162</v>
      </c>
      <c r="O32" s="75" t="s">
        <v>163</v>
      </c>
      <c r="P32" s="73" t="s">
        <v>155</v>
      </c>
      <c r="Q32" s="74" t="s">
        <v>151</v>
      </c>
      <c r="R32" s="2"/>
    </row>
    <row r="33" spans="2:18" x14ac:dyDescent="0.25">
      <c r="B33" s="11"/>
      <c r="C33" s="19" t="s">
        <v>167</v>
      </c>
      <c r="D33" s="1" t="s">
        <v>165</v>
      </c>
      <c r="E33" s="1">
        <v>1.4</v>
      </c>
      <c r="F33" s="1">
        <f>68+460</f>
        <v>528</v>
      </c>
      <c r="G33" s="1">
        <v>0.7</v>
      </c>
      <c r="H33" s="1">
        <v>1400</v>
      </c>
      <c r="I33" s="1">
        <v>1.75</v>
      </c>
      <c r="J33" s="1">
        <v>16</v>
      </c>
      <c r="K33" s="1">
        <v>20</v>
      </c>
      <c r="L33" s="21">
        <v>175</v>
      </c>
      <c r="M33" s="18">
        <v>4053.1217359778821</v>
      </c>
      <c r="N33" s="215">
        <v>800</v>
      </c>
      <c r="O33" s="4">
        <v>156.4015959107503</v>
      </c>
      <c r="P33" s="1">
        <v>0</v>
      </c>
      <c r="Q33" s="21" t="s">
        <v>165</v>
      </c>
      <c r="R33" s="2"/>
    </row>
    <row r="34" spans="2:18" x14ac:dyDescent="0.25">
      <c r="B34" s="11"/>
      <c r="C34" s="19" t="s">
        <v>168</v>
      </c>
      <c r="D34" s="1" t="s">
        <v>165</v>
      </c>
      <c r="E34" s="1">
        <v>1.4</v>
      </c>
      <c r="F34" s="1">
        <f t="shared" ref="F34:F44" si="0">68+460</f>
        <v>528</v>
      </c>
      <c r="G34" s="1">
        <v>0.52</v>
      </c>
      <c r="H34" s="1">
        <f>H33+50</f>
        <v>1450</v>
      </c>
      <c r="I34" s="1">
        <f>I33+0.15</f>
        <v>1.9</v>
      </c>
      <c r="J34" s="1">
        <f>J33+1.25</f>
        <v>17.25</v>
      </c>
      <c r="K34" s="1">
        <f>K33+0.25</f>
        <v>20.25</v>
      </c>
      <c r="L34" s="21">
        <f>L33+5</f>
        <v>180</v>
      </c>
      <c r="M34" s="18">
        <v>5539.5400646495555</v>
      </c>
      <c r="N34" s="4">
        <v>763.1578947368422</v>
      </c>
      <c r="O34" s="4">
        <v>210.51958904314677</v>
      </c>
      <c r="P34" s="1">
        <v>13537.217184981764</v>
      </c>
      <c r="Q34" s="21" t="s">
        <v>165</v>
      </c>
      <c r="R34" s="2"/>
    </row>
    <row r="35" spans="2:18" x14ac:dyDescent="0.25">
      <c r="B35" s="11"/>
      <c r="C35" s="19" t="s">
        <v>169</v>
      </c>
      <c r="D35" s="1" t="s">
        <v>165</v>
      </c>
      <c r="E35" s="1">
        <v>1.4</v>
      </c>
      <c r="F35" s="1">
        <f t="shared" si="0"/>
        <v>528</v>
      </c>
      <c r="G35" s="1">
        <v>0.52</v>
      </c>
      <c r="H35" s="1">
        <f t="shared" ref="H35:H44" si="1">H34+50</f>
        <v>1500</v>
      </c>
      <c r="I35" s="1">
        <f t="shared" ref="I35:I44" si="2">I34+0.15</f>
        <v>2.0499999999999998</v>
      </c>
      <c r="J35" s="1">
        <f t="shared" ref="J35:J44" si="3">J34+1.25</f>
        <v>18.5</v>
      </c>
      <c r="K35" s="1">
        <f t="shared" ref="K35:K44" si="4">K34+0.25</f>
        <v>20.5</v>
      </c>
      <c r="L35" s="21">
        <f t="shared" ref="L35:L44" si="5">L34+5</f>
        <v>185</v>
      </c>
      <c r="M35" s="18">
        <v>6447.9721226303873</v>
      </c>
      <c r="N35" s="4">
        <v>731.70731707317077</v>
      </c>
      <c r="O35" s="4">
        <v>223.7672771858181</v>
      </c>
      <c r="P35" s="1">
        <v>20769.190186285625</v>
      </c>
      <c r="Q35" s="21" t="s">
        <v>165</v>
      </c>
      <c r="R35" s="2"/>
    </row>
    <row r="36" spans="2:18" x14ac:dyDescent="0.25">
      <c r="B36" s="11"/>
      <c r="C36" s="19" t="s">
        <v>170</v>
      </c>
      <c r="D36" s="1" t="s">
        <v>165</v>
      </c>
      <c r="E36" s="1">
        <v>1.4</v>
      </c>
      <c r="F36" s="1">
        <v>600</v>
      </c>
      <c r="G36" s="1">
        <v>0.6</v>
      </c>
      <c r="H36" s="1">
        <f t="shared" si="1"/>
        <v>1550</v>
      </c>
      <c r="I36" s="1">
        <f t="shared" si="2"/>
        <v>2.1999999999999997</v>
      </c>
      <c r="J36" s="1">
        <f t="shared" si="3"/>
        <v>19.75</v>
      </c>
      <c r="K36" s="1">
        <f t="shared" si="4"/>
        <v>20.75</v>
      </c>
      <c r="L36" s="21">
        <f t="shared" si="5"/>
        <v>190</v>
      </c>
      <c r="M36" s="18">
        <v>8389.3075684848227</v>
      </c>
      <c r="N36" s="4">
        <v>704.54545454545462</v>
      </c>
      <c r="O36" s="4">
        <v>325.44564794251175</v>
      </c>
      <c r="P36" s="1">
        <v>23323.716405171497</v>
      </c>
      <c r="Q36" s="21" t="s">
        <v>165</v>
      </c>
      <c r="R36" s="2"/>
    </row>
    <row r="37" spans="2:18" x14ac:dyDescent="0.25">
      <c r="B37" s="11"/>
      <c r="C37" s="19" t="s">
        <v>171</v>
      </c>
      <c r="D37" s="1" t="s">
        <v>165</v>
      </c>
      <c r="E37" s="1">
        <v>1.4</v>
      </c>
      <c r="F37" s="1">
        <f t="shared" si="0"/>
        <v>528</v>
      </c>
      <c r="G37" s="1">
        <v>0.52</v>
      </c>
      <c r="H37" s="1">
        <f t="shared" si="1"/>
        <v>1600</v>
      </c>
      <c r="I37" s="1">
        <f t="shared" si="2"/>
        <v>2.3499999999999996</v>
      </c>
      <c r="J37" s="1">
        <f t="shared" si="3"/>
        <v>21</v>
      </c>
      <c r="K37" s="1">
        <f t="shared" si="4"/>
        <v>21</v>
      </c>
      <c r="L37" s="21">
        <f t="shared" si="5"/>
        <v>195</v>
      </c>
      <c r="M37" s="18">
        <v>8273.5711337344928</v>
      </c>
      <c r="N37" s="4">
        <v>680.85106382978734</v>
      </c>
      <c r="O37" s="4">
        <v>248.45826318739432</v>
      </c>
      <c r="P37" s="1">
        <v>44261.478832172455</v>
      </c>
      <c r="Q37" s="21" t="s">
        <v>165</v>
      </c>
      <c r="R37" s="2"/>
    </row>
    <row r="38" spans="2:18" x14ac:dyDescent="0.25">
      <c r="B38" s="11"/>
      <c r="C38" s="19" t="s">
        <v>172</v>
      </c>
      <c r="D38" s="1" t="s">
        <v>165</v>
      </c>
      <c r="E38" s="1">
        <v>1.4</v>
      </c>
      <c r="F38" s="1">
        <f t="shared" si="0"/>
        <v>528</v>
      </c>
      <c r="G38" s="1">
        <v>0.52</v>
      </c>
      <c r="H38" s="1">
        <f t="shared" si="1"/>
        <v>1650</v>
      </c>
      <c r="I38" s="1">
        <f t="shared" si="2"/>
        <v>2.4999999999999996</v>
      </c>
      <c r="J38" s="1">
        <f t="shared" si="3"/>
        <v>22.25</v>
      </c>
      <c r="K38" s="1">
        <f t="shared" si="4"/>
        <v>21.25</v>
      </c>
      <c r="L38" s="21">
        <f t="shared" si="5"/>
        <v>200</v>
      </c>
      <c r="M38" s="18">
        <v>9193.0532494943545</v>
      </c>
      <c r="N38" s="4">
        <v>660.00000000000011</v>
      </c>
      <c r="O38" s="4">
        <v>260.02445056223462</v>
      </c>
      <c r="P38" s="1">
        <v>62163.985703665683</v>
      </c>
      <c r="Q38" s="21" t="s">
        <v>165</v>
      </c>
      <c r="R38" s="2"/>
    </row>
    <row r="39" spans="2:18" x14ac:dyDescent="0.25">
      <c r="B39" s="11"/>
      <c r="C39" s="19" t="s">
        <v>173</v>
      </c>
      <c r="D39" s="1" t="s">
        <v>165</v>
      </c>
      <c r="E39" s="1">
        <v>1.4</v>
      </c>
      <c r="F39" s="1">
        <f t="shared" si="0"/>
        <v>528</v>
      </c>
      <c r="G39" s="1">
        <v>0.52</v>
      </c>
      <c r="H39" s="1">
        <f t="shared" si="1"/>
        <v>1700</v>
      </c>
      <c r="I39" s="1">
        <f t="shared" si="2"/>
        <v>2.6499999999999995</v>
      </c>
      <c r="J39" s="1">
        <f t="shared" si="3"/>
        <v>23.5</v>
      </c>
      <c r="K39" s="1">
        <f t="shared" si="4"/>
        <v>21.5</v>
      </c>
      <c r="L39" s="21">
        <f t="shared" si="5"/>
        <v>205</v>
      </c>
      <c r="M39" s="18">
        <v>10118.135886966411</v>
      </c>
      <c r="N39" s="4">
        <v>641.50943396226432</v>
      </c>
      <c r="O39" s="4">
        <v>271.13731546210761</v>
      </c>
      <c r="P39" s="1">
        <v>85515.943692801971</v>
      </c>
      <c r="Q39" s="21" t="s">
        <v>165</v>
      </c>
      <c r="R39" s="2"/>
    </row>
    <row r="40" spans="2:18" x14ac:dyDescent="0.25">
      <c r="B40" s="11"/>
      <c r="C40" s="19" t="s">
        <v>174</v>
      </c>
      <c r="D40" s="1" t="s">
        <v>165</v>
      </c>
      <c r="E40" s="1">
        <v>1.4</v>
      </c>
      <c r="F40" s="1">
        <f t="shared" si="0"/>
        <v>528</v>
      </c>
      <c r="G40" s="1">
        <v>0.52</v>
      </c>
      <c r="H40" s="1">
        <f t="shared" si="1"/>
        <v>1750</v>
      </c>
      <c r="I40" s="1">
        <f t="shared" si="2"/>
        <v>2.7999999999999994</v>
      </c>
      <c r="J40" s="1">
        <f t="shared" si="3"/>
        <v>24.75</v>
      </c>
      <c r="K40" s="1">
        <f t="shared" si="4"/>
        <v>21.75</v>
      </c>
      <c r="L40" s="21">
        <f t="shared" si="5"/>
        <v>210</v>
      </c>
      <c r="M40" s="18">
        <v>11049.459263624174</v>
      </c>
      <c r="N40" s="4">
        <v>625.00000000000011</v>
      </c>
      <c r="O40" s="4">
        <v>281.83756258990252</v>
      </c>
      <c r="P40" s="1">
        <v>115540.00015128641</v>
      </c>
      <c r="Q40" s="21" t="s">
        <v>165</v>
      </c>
      <c r="R40" s="2"/>
    </row>
    <row r="41" spans="2:18" x14ac:dyDescent="0.25">
      <c r="B41" s="11"/>
      <c r="C41" s="19" t="s">
        <v>175</v>
      </c>
      <c r="D41" s="1" t="s">
        <v>165</v>
      </c>
      <c r="E41" s="1">
        <v>1.4</v>
      </c>
      <c r="F41" s="1">
        <v>612</v>
      </c>
      <c r="G41" s="1">
        <v>0.52</v>
      </c>
      <c r="H41" s="1">
        <f t="shared" si="1"/>
        <v>1800</v>
      </c>
      <c r="I41" s="1">
        <f t="shared" si="2"/>
        <v>2.9499999999999993</v>
      </c>
      <c r="J41" s="1">
        <f t="shared" si="3"/>
        <v>26</v>
      </c>
      <c r="K41" s="1">
        <f t="shared" si="4"/>
        <v>22</v>
      </c>
      <c r="L41" s="21">
        <f t="shared" si="5"/>
        <v>215</v>
      </c>
      <c r="M41" s="18">
        <v>14041.141684544235</v>
      </c>
      <c r="N41" s="4">
        <v>610.16949152542384</v>
      </c>
      <c r="O41" s="4">
        <v>396.29894562971037</v>
      </c>
      <c r="P41" s="1">
        <v>130088.78421383536</v>
      </c>
      <c r="Q41" s="21" t="s">
        <v>165</v>
      </c>
      <c r="R41" s="2"/>
    </row>
    <row r="42" spans="2:18" x14ac:dyDescent="0.25">
      <c r="B42" s="11"/>
      <c r="C42" s="19" t="s">
        <v>176</v>
      </c>
      <c r="D42" s="1" t="s">
        <v>165</v>
      </c>
      <c r="E42" s="1">
        <v>1.4</v>
      </c>
      <c r="F42" s="1">
        <f t="shared" si="0"/>
        <v>528</v>
      </c>
      <c r="G42" s="1">
        <v>0.52</v>
      </c>
      <c r="H42" s="1">
        <f t="shared" si="1"/>
        <v>1850</v>
      </c>
      <c r="I42" s="1">
        <f t="shared" si="2"/>
        <v>3.0999999999999992</v>
      </c>
      <c r="J42" s="1">
        <f t="shared" si="3"/>
        <v>27.25</v>
      </c>
      <c r="K42" s="1">
        <f t="shared" si="4"/>
        <v>22.25</v>
      </c>
      <c r="L42" s="21">
        <f t="shared" si="5"/>
        <v>220</v>
      </c>
      <c r="M42" s="18">
        <v>12932.764701988801</v>
      </c>
      <c r="N42" s="4">
        <v>596.7741935483873</v>
      </c>
      <c r="O42" s="4">
        <v>302.13630133712888</v>
      </c>
      <c r="P42" s="1">
        <v>201481.00073806895</v>
      </c>
      <c r="Q42" s="21" t="s">
        <v>165</v>
      </c>
      <c r="R42" s="2"/>
    </row>
    <row r="43" spans="2:18" x14ac:dyDescent="0.25">
      <c r="B43" s="11"/>
      <c r="C43" s="19" t="s">
        <v>177</v>
      </c>
      <c r="D43" s="1" t="s">
        <v>165</v>
      </c>
      <c r="E43" s="1">
        <v>1.4</v>
      </c>
      <c r="F43" s="1">
        <f t="shared" si="0"/>
        <v>528</v>
      </c>
      <c r="G43" s="1">
        <v>0.52</v>
      </c>
      <c r="H43" s="1">
        <f t="shared" si="1"/>
        <v>1900</v>
      </c>
      <c r="I43" s="1">
        <f t="shared" si="2"/>
        <v>3.2499999999999991</v>
      </c>
      <c r="J43" s="1">
        <f t="shared" si="3"/>
        <v>28.5</v>
      </c>
      <c r="K43" s="1">
        <f t="shared" si="4"/>
        <v>22.5</v>
      </c>
      <c r="L43" s="21">
        <f t="shared" si="5"/>
        <v>225</v>
      </c>
      <c r="M43" s="18">
        <v>13885.476955813829</v>
      </c>
      <c r="N43" s="4">
        <v>584.61538461538476</v>
      </c>
      <c r="O43" s="4">
        <v>311.7922368978052</v>
      </c>
      <c r="P43" s="1">
        <v>260889.83617942879</v>
      </c>
      <c r="Q43" s="21" t="s">
        <v>165</v>
      </c>
      <c r="R43" s="2"/>
    </row>
    <row r="44" spans="2:18" ht="15.75" thickBot="1" x14ac:dyDescent="0.3">
      <c r="B44" s="11"/>
      <c r="C44" s="20" t="s">
        <v>178</v>
      </c>
      <c r="D44" s="25" t="s">
        <v>165</v>
      </c>
      <c r="E44" s="25">
        <v>1.4</v>
      </c>
      <c r="F44" s="25">
        <f t="shared" si="0"/>
        <v>528</v>
      </c>
      <c r="G44" s="25">
        <v>0.52</v>
      </c>
      <c r="H44" s="25">
        <f t="shared" si="1"/>
        <v>1950</v>
      </c>
      <c r="I44" s="25">
        <f t="shared" si="2"/>
        <v>3.399999999999999</v>
      </c>
      <c r="J44" s="25">
        <f t="shared" si="3"/>
        <v>29.75</v>
      </c>
      <c r="K44" s="25">
        <f t="shared" si="4"/>
        <v>22.75</v>
      </c>
      <c r="L44" s="23">
        <f t="shared" si="5"/>
        <v>230</v>
      </c>
      <c r="M44" s="28">
        <v>14845.926852633967</v>
      </c>
      <c r="N44" s="32">
        <v>573.52941176470608</v>
      </c>
      <c r="O44" s="32">
        <v>321.15183100845593</v>
      </c>
      <c r="P44" s="25">
        <v>333997.6103348076</v>
      </c>
      <c r="Q44" s="23" t="s">
        <v>165</v>
      </c>
      <c r="R44" s="2"/>
    </row>
    <row r="45" spans="2:18" ht="15.75" thickTop="1" x14ac:dyDescent="0.25">
      <c r="B45" s="11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2"/>
    </row>
    <row r="46" spans="2:18" x14ac:dyDescent="0.25">
      <c r="B46" s="11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2"/>
    </row>
    <row r="47" spans="2:18" x14ac:dyDescent="0.25">
      <c r="B47" s="11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2"/>
    </row>
    <row r="48" spans="2:18" x14ac:dyDescent="0.25">
      <c r="B48" s="11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2"/>
    </row>
    <row r="49" spans="2:18" x14ac:dyDescent="0.25">
      <c r="B49" s="11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2"/>
    </row>
    <row r="50" spans="2:18" ht="15.75" thickBot="1" x14ac:dyDescent="0.3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5"/>
    </row>
  </sheetData>
  <mergeCells count="6">
    <mergeCell ref="C9:D9"/>
    <mergeCell ref="C3:D3"/>
    <mergeCell ref="H10:I10"/>
    <mergeCell ref="B26:R26"/>
    <mergeCell ref="C31:L31"/>
    <mergeCell ref="M31:Q3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p_Require">
                <anchor moveWithCells="1" sizeWithCells="1">
                  <from>
                    <xdr:col>6</xdr:col>
                    <xdr:colOff>857250</xdr:colOff>
                    <xdr:row>5</xdr:row>
                    <xdr:rowOff>19050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omp_Unbalanced_Compression_Ratio">
                <anchor moveWithCells="1" sizeWithCells="1">
                  <from>
                    <xdr:col>13</xdr:col>
                    <xdr:colOff>0</xdr:colOff>
                    <xdr:row>27</xdr:row>
                    <xdr:rowOff>19050</xdr:rowOff>
                  </from>
                  <to>
                    <xdr:col>16</xdr:col>
                    <xdr:colOff>809625</xdr:colOff>
                    <xdr:row>29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CM85"/>
  <sheetViews>
    <sheetView zoomScale="60" zoomScaleNormal="60" workbookViewId="0">
      <selection activeCell="I6" sqref="I6"/>
    </sheetView>
  </sheetViews>
  <sheetFormatPr defaultRowHeight="15" x14ac:dyDescent="0.25"/>
  <cols>
    <col min="2" max="2" width="7" customWidth="1"/>
    <col min="3" max="3" width="30.5703125" customWidth="1"/>
    <col min="4" max="5" width="18.85546875" customWidth="1"/>
    <col min="6" max="6" width="28.85546875" customWidth="1"/>
    <col min="7" max="8" width="19.42578125" customWidth="1"/>
    <col min="9" max="11" width="18.85546875" customWidth="1"/>
    <col min="12" max="12" width="21.7109375" customWidth="1"/>
    <col min="13" max="13" width="21" customWidth="1"/>
    <col min="14" max="14" width="16.42578125" customWidth="1"/>
    <col min="15" max="15" width="18.85546875" customWidth="1"/>
    <col min="16" max="16" width="18.5703125" customWidth="1"/>
    <col min="17" max="17" width="14.42578125" customWidth="1"/>
    <col min="18" max="18" width="17.42578125" customWidth="1"/>
    <col min="19" max="19" width="20.140625" customWidth="1"/>
    <col min="20" max="20" width="19.140625" customWidth="1"/>
    <col min="21" max="21" width="15.85546875" customWidth="1"/>
    <col min="22" max="22" width="18.140625" customWidth="1"/>
    <col min="23" max="23" width="18.5703125" customWidth="1"/>
    <col min="24" max="25" width="13.140625" customWidth="1"/>
    <col min="26" max="26" width="14.5703125" customWidth="1"/>
    <col min="27" max="53" width="13.42578125" customWidth="1"/>
    <col min="54" max="54" width="11.5703125" customWidth="1"/>
  </cols>
  <sheetData>
    <row r="2" spans="2:54" ht="15.75" thickBot="1" x14ac:dyDescent="0.3"/>
    <row r="3" spans="2:54" ht="19.5" thickBot="1" x14ac:dyDescent="0.35">
      <c r="C3" s="281" t="s">
        <v>12</v>
      </c>
      <c r="D3" s="282"/>
      <c r="E3" s="54"/>
      <c r="F3" s="54"/>
      <c r="G3" s="54"/>
      <c r="H3" s="54"/>
      <c r="I3" s="54"/>
      <c r="J3" s="54"/>
      <c r="K3" s="54"/>
      <c r="L3" s="54"/>
      <c r="M3" s="54"/>
    </row>
    <row r="4" spans="2:54" ht="36" customHeight="1" x14ac:dyDescent="0.25">
      <c r="C4" s="155" t="s">
        <v>53</v>
      </c>
      <c r="D4" s="151">
        <v>200</v>
      </c>
      <c r="E4" s="6"/>
      <c r="F4" s="6"/>
      <c r="G4" s="6"/>
      <c r="H4" s="6"/>
      <c r="I4" s="6"/>
      <c r="J4" s="6"/>
      <c r="K4" s="6"/>
      <c r="L4" s="6"/>
      <c r="M4" s="6"/>
    </row>
    <row r="5" spans="2:54" ht="22.5" customHeight="1" x14ac:dyDescent="0.25">
      <c r="C5" s="152" t="s">
        <v>51</v>
      </c>
      <c r="D5" s="153">
        <v>800</v>
      </c>
      <c r="E5" s="6"/>
      <c r="F5" s="6"/>
      <c r="G5" s="6"/>
      <c r="H5" s="6"/>
      <c r="I5" s="6"/>
      <c r="J5" s="6"/>
      <c r="K5" s="6"/>
      <c r="L5" s="6"/>
      <c r="M5" s="6"/>
    </row>
    <row r="6" spans="2:54" ht="33" customHeight="1" x14ac:dyDescent="0.25">
      <c r="C6" s="156" t="s">
        <v>52</v>
      </c>
      <c r="D6" s="153">
        <v>800</v>
      </c>
      <c r="E6" s="6"/>
      <c r="F6" s="6"/>
      <c r="G6" s="6"/>
      <c r="H6" s="6"/>
      <c r="I6" s="6"/>
      <c r="J6" s="6"/>
      <c r="K6" s="6"/>
      <c r="L6" s="6"/>
      <c r="M6" s="6"/>
    </row>
    <row r="7" spans="2:54" ht="36.75" customHeight="1" x14ac:dyDescent="0.25">
      <c r="C7" s="156" t="s">
        <v>54</v>
      </c>
      <c r="D7" s="153">
        <v>45</v>
      </c>
      <c r="E7" s="6"/>
      <c r="F7" s="6"/>
      <c r="G7" s="6"/>
      <c r="H7" s="6"/>
      <c r="I7" s="6"/>
      <c r="J7" s="6"/>
      <c r="K7" s="6"/>
      <c r="L7" s="6"/>
      <c r="M7" s="6"/>
    </row>
    <row r="8" spans="2:54" ht="16.5" thickBot="1" x14ac:dyDescent="0.3">
      <c r="C8" s="157" t="s">
        <v>191</v>
      </c>
      <c r="D8" s="154">
        <v>29</v>
      </c>
      <c r="E8" s="6"/>
      <c r="F8" s="6"/>
      <c r="G8" s="6"/>
      <c r="H8" s="6"/>
      <c r="I8" s="6"/>
      <c r="J8" s="6"/>
      <c r="K8" s="6"/>
      <c r="L8" s="6"/>
      <c r="M8" s="6"/>
    </row>
    <row r="9" spans="2:54" ht="33" customHeight="1" x14ac:dyDescent="0.25">
      <c r="C9" s="35"/>
      <c r="D9" s="6"/>
      <c r="E9" s="6"/>
      <c r="F9" s="6"/>
      <c r="G9" s="6"/>
      <c r="H9" s="6"/>
      <c r="I9" s="6"/>
      <c r="J9" s="6"/>
      <c r="K9" s="6"/>
      <c r="L9" s="6"/>
      <c r="M9" s="6"/>
    </row>
    <row r="10" spans="2:54" ht="42" customHeight="1" thickBot="1" x14ac:dyDescent="0.3">
      <c r="X10" s="6"/>
    </row>
    <row r="11" spans="2:54" ht="24.75" thickTop="1" thickBot="1" x14ac:dyDescent="0.4">
      <c r="I11" s="51"/>
      <c r="J11" s="291" t="s">
        <v>5</v>
      </c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/>
      <c r="AP11" s="292"/>
      <c r="AQ11" s="292"/>
      <c r="AR11" s="292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2:54" ht="36.75" customHeight="1" thickTop="1" thickBot="1" x14ac:dyDescent="0.4">
      <c r="B12" s="295" t="s">
        <v>10</v>
      </c>
      <c r="C12" s="296"/>
      <c r="D12" s="296"/>
      <c r="E12" s="296"/>
      <c r="F12" s="296"/>
      <c r="G12" s="296"/>
      <c r="H12" s="297"/>
      <c r="I12" s="44"/>
      <c r="J12" s="65"/>
      <c r="K12" s="44"/>
      <c r="L12" s="44"/>
      <c r="M12" s="44"/>
      <c r="N12" s="6"/>
      <c r="O12" s="6"/>
      <c r="P12" s="289" t="s">
        <v>0</v>
      </c>
      <c r="Q12" s="286" t="s">
        <v>1</v>
      </c>
      <c r="R12" s="283" t="s">
        <v>6</v>
      </c>
      <c r="S12" s="284"/>
      <c r="T12" s="285"/>
      <c r="U12" s="286" t="s">
        <v>2</v>
      </c>
      <c r="V12" s="283" t="s">
        <v>7</v>
      </c>
      <c r="W12" s="288"/>
      <c r="X12" s="289" t="s">
        <v>179</v>
      </c>
      <c r="Y12" s="286" t="s">
        <v>180</v>
      </c>
      <c r="Z12" s="286" t="s">
        <v>181</v>
      </c>
      <c r="AA12" s="280" t="s">
        <v>182</v>
      </c>
      <c r="AB12" s="280" t="s">
        <v>196</v>
      </c>
      <c r="AC12" s="280" t="s">
        <v>221</v>
      </c>
      <c r="AD12" s="280" t="s">
        <v>222</v>
      </c>
      <c r="AE12" s="280" t="s">
        <v>223</v>
      </c>
      <c r="AF12" s="280" t="s">
        <v>224</v>
      </c>
      <c r="AG12" s="280" t="s">
        <v>225</v>
      </c>
      <c r="AH12" s="280" t="s">
        <v>226</v>
      </c>
      <c r="AI12" s="280" t="s">
        <v>227</v>
      </c>
      <c r="AJ12" s="280" t="s">
        <v>228</v>
      </c>
      <c r="AK12" s="280" t="s">
        <v>229</v>
      </c>
      <c r="AL12" s="280" t="s">
        <v>230</v>
      </c>
      <c r="AM12" s="280" t="s">
        <v>231</v>
      </c>
      <c r="AN12" s="280" t="s">
        <v>232</v>
      </c>
      <c r="AO12" s="280" t="s">
        <v>233</v>
      </c>
      <c r="AP12" s="280" t="s">
        <v>234</v>
      </c>
      <c r="AQ12" s="280" t="s">
        <v>235</v>
      </c>
      <c r="AR12" s="280" t="s">
        <v>236</v>
      </c>
      <c r="AS12" s="280" t="s">
        <v>237</v>
      </c>
      <c r="AT12" s="280" t="s">
        <v>238</v>
      </c>
      <c r="AU12" s="280" t="s">
        <v>239</v>
      </c>
      <c r="AV12" s="280" t="s">
        <v>240</v>
      </c>
      <c r="AW12" s="280" t="s">
        <v>241</v>
      </c>
      <c r="AX12" s="280" t="s">
        <v>242</v>
      </c>
      <c r="AY12" s="280" t="s">
        <v>243</v>
      </c>
      <c r="AZ12" s="280" t="s">
        <v>244</v>
      </c>
      <c r="BA12" s="280" t="s">
        <v>245</v>
      </c>
      <c r="BB12" s="58"/>
    </row>
    <row r="13" spans="2:54" ht="37.5" customHeight="1" thickBot="1" x14ac:dyDescent="0.35">
      <c r="B13" s="63"/>
      <c r="C13" s="61" t="s">
        <v>188</v>
      </c>
      <c r="D13" s="62"/>
      <c r="E13" s="49"/>
      <c r="F13" s="52" t="s">
        <v>18</v>
      </c>
      <c r="G13" s="53" t="s">
        <v>17</v>
      </c>
      <c r="H13" s="56"/>
      <c r="I13" s="12"/>
      <c r="J13" s="66"/>
      <c r="K13" s="12"/>
      <c r="L13" s="12"/>
      <c r="M13" s="12"/>
      <c r="N13" s="6"/>
      <c r="O13" s="6"/>
      <c r="P13" s="290"/>
      <c r="Q13" s="287"/>
      <c r="R13" s="8" t="s">
        <v>4</v>
      </c>
      <c r="S13" s="8" t="s">
        <v>3</v>
      </c>
      <c r="T13" s="8" t="s">
        <v>42</v>
      </c>
      <c r="U13" s="287"/>
      <c r="V13" s="9" t="s">
        <v>8</v>
      </c>
      <c r="W13" s="10" t="s">
        <v>9</v>
      </c>
      <c r="X13" s="290"/>
      <c r="Y13" s="287"/>
      <c r="Z13" s="287"/>
      <c r="AA13" s="294"/>
      <c r="AB13" s="280"/>
      <c r="AC13" s="280"/>
      <c r="AD13" s="280"/>
      <c r="AE13" s="280"/>
      <c r="AF13" s="280"/>
      <c r="AG13" s="280"/>
      <c r="AH13" s="280"/>
      <c r="AI13" s="280"/>
      <c r="AJ13" s="280"/>
      <c r="AK13" s="280"/>
      <c r="AL13" s="280"/>
      <c r="AM13" s="280"/>
      <c r="AN13" s="280"/>
      <c r="AO13" s="280"/>
      <c r="AP13" s="280"/>
      <c r="AQ13" s="280"/>
      <c r="AR13" s="280"/>
      <c r="AS13" s="280"/>
      <c r="AT13" s="280"/>
      <c r="AU13" s="280"/>
      <c r="AV13" s="280"/>
      <c r="AW13" s="280"/>
      <c r="AX13" s="280"/>
      <c r="AY13" s="280"/>
      <c r="AZ13" s="280"/>
      <c r="BA13" s="280"/>
      <c r="BB13" s="58"/>
    </row>
    <row r="14" spans="2:54" ht="34.5" customHeight="1" x14ac:dyDescent="0.25">
      <c r="B14" s="63"/>
      <c r="C14" s="18" t="s">
        <v>19</v>
      </c>
      <c r="D14" s="21">
        <f t="array" ref="D14:D34">MMULT(X14:BA34,M42:M71)</f>
        <v>95.195999999999955</v>
      </c>
      <c r="E14" s="50"/>
      <c r="F14" s="47" t="s">
        <v>43</v>
      </c>
      <c r="G14" s="22">
        <v>16.844377751999993</v>
      </c>
      <c r="H14" s="57"/>
      <c r="I14" s="12"/>
      <c r="J14" s="66"/>
      <c r="K14" s="12"/>
      <c r="L14" s="12"/>
      <c r="M14" s="12"/>
      <c r="N14" s="6"/>
      <c r="O14" s="6"/>
      <c r="P14" s="36" t="s">
        <v>19</v>
      </c>
      <c r="Q14" s="37">
        <v>16.042999999999999</v>
      </c>
      <c r="R14" s="37">
        <v>666</v>
      </c>
      <c r="S14" s="37">
        <v>-116.66</v>
      </c>
      <c r="T14" s="37">
        <f t="shared" ref="T14:T33" si="0">S15+460</f>
        <v>550.06999999999994</v>
      </c>
      <c r="U14" s="37">
        <v>0.52676000000000001</v>
      </c>
      <c r="V14" s="37">
        <v>909</v>
      </c>
      <c r="W14" s="37">
        <v>1010</v>
      </c>
      <c r="X14" s="37">
        <v>95.195999999999998</v>
      </c>
      <c r="Y14" s="37">
        <v>95.195999999999998</v>
      </c>
      <c r="Z14" s="37">
        <v>95.195999999999998</v>
      </c>
      <c r="AA14" s="158">
        <v>95.195999999999998</v>
      </c>
      <c r="AB14" s="37">
        <v>95.195999999999998</v>
      </c>
      <c r="AC14" s="37">
        <v>95.195999999999998</v>
      </c>
      <c r="AD14" s="37">
        <v>95.195999999999998</v>
      </c>
      <c r="AE14" s="37">
        <v>95.195999999999998</v>
      </c>
      <c r="AF14" s="37">
        <v>95.195999999999998</v>
      </c>
      <c r="AG14" s="37">
        <v>95.195999999999998</v>
      </c>
      <c r="AH14" s="37">
        <v>95.195999999999998</v>
      </c>
      <c r="AI14" s="37">
        <v>95.195999999999998</v>
      </c>
      <c r="AJ14" s="37">
        <v>95.195999999999998</v>
      </c>
      <c r="AK14" s="37">
        <v>95.195999999999998</v>
      </c>
      <c r="AL14" s="37">
        <v>95.195999999999998</v>
      </c>
      <c r="AM14" s="37">
        <v>95.195999999999998</v>
      </c>
      <c r="AN14" s="37">
        <v>95.195999999999998</v>
      </c>
      <c r="AO14" s="37">
        <v>95.195999999999998</v>
      </c>
      <c r="AP14" s="37">
        <v>95.195999999999998</v>
      </c>
      <c r="AQ14" s="37">
        <v>95.195999999999998</v>
      </c>
      <c r="AR14" s="37">
        <v>95.195999999999998</v>
      </c>
      <c r="AS14" s="37">
        <v>95.195999999999998</v>
      </c>
      <c r="AT14" s="37">
        <v>95.195999999999998</v>
      </c>
      <c r="AU14" s="37">
        <v>95.195999999999998</v>
      </c>
      <c r="AV14" s="37">
        <v>95.195999999999998</v>
      </c>
      <c r="AW14" s="37">
        <v>95.195999999999998</v>
      </c>
      <c r="AX14" s="37">
        <v>95.195999999999998</v>
      </c>
      <c r="AY14" s="37">
        <v>95.195999999999998</v>
      </c>
      <c r="AZ14" s="37">
        <v>95.195999999999998</v>
      </c>
      <c r="BA14" s="163">
        <v>95.195999999999998</v>
      </c>
      <c r="BB14" s="58"/>
    </row>
    <row r="15" spans="2:54" ht="38.25" customHeight="1" x14ac:dyDescent="0.25">
      <c r="B15" s="63"/>
      <c r="C15" s="18" t="s">
        <v>20</v>
      </c>
      <c r="D15" s="21">
        <v>3.912999999999998</v>
      </c>
      <c r="E15" s="50"/>
      <c r="F15" s="47" t="s">
        <v>13</v>
      </c>
      <c r="G15" s="22">
        <v>800</v>
      </c>
      <c r="H15" s="57"/>
      <c r="I15" s="12"/>
      <c r="J15" s="66"/>
      <c r="K15" s="12"/>
      <c r="L15" s="12"/>
      <c r="M15" s="12"/>
      <c r="N15" s="6"/>
      <c r="O15" s="6"/>
      <c r="P15" s="18" t="s">
        <v>20</v>
      </c>
      <c r="Q15" s="1">
        <v>30.07</v>
      </c>
      <c r="R15" s="1">
        <v>707</v>
      </c>
      <c r="S15" s="1">
        <v>90.07</v>
      </c>
      <c r="T15" s="3">
        <f t="shared" si="0"/>
        <v>665.93000000000006</v>
      </c>
      <c r="U15" s="1">
        <v>0.40788999999999997</v>
      </c>
      <c r="V15" s="1">
        <v>1619</v>
      </c>
      <c r="W15" s="1">
        <v>1770</v>
      </c>
      <c r="X15" s="1">
        <v>3.9129999999999998</v>
      </c>
      <c r="Y15" s="1">
        <v>3.9129999999999998</v>
      </c>
      <c r="Z15" s="1">
        <v>3.9129999999999998</v>
      </c>
      <c r="AA15" s="159">
        <v>3.9129999999999998</v>
      </c>
      <c r="AB15" s="1">
        <v>3.9129999999999998</v>
      </c>
      <c r="AC15" s="1">
        <v>3.9129999999999998</v>
      </c>
      <c r="AD15" s="1">
        <v>3.9129999999999998</v>
      </c>
      <c r="AE15" s="1">
        <v>3.9129999999999998</v>
      </c>
      <c r="AF15" s="1">
        <v>3.9129999999999998</v>
      </c>
      <c r="AG15" s="1">
        <v>3.9129999999999998</v>
      </c>
      <c r="AH15" s="1">
        <v>3.9129999999999998</v>
      </c>
      <c r="AI15" s="1">
        <v>3.9129999999999998</v>
      </c>
      <c r="AJ15" s="1">
        <v>3.9129999999999998</v>
      </c>
      <c r="AK15" s="1">
        <v>3.9129999999999998</v>
      </c>
      <c r="AL15" s="1">
        <v>3.9129999999999998</v>
      </c>
      <c r="AM15" s="1">
        <v>3.9129999999999998</v>
      </c>
      <c r="AN15" s="1">
        <v>3.9129999999999998</v>
      </c>
      <c r="AO15" s="1">
        <v>3.9129999999999998</v>
      </c>
      <c r="AP15" s="1">
        <v>3.9129999999999998</v>
      </c>
      <c r="AQ15" s="1">
        <v>3.9129999999999998</v>
      </c>
      <c r="AR15" s="1">
        <v>3.9129999999999998</v>
      </c>
      <c r="AS15" s="1">
        <v>3.9129999999999998</v>
      </c>
      <c r="AT15" s="1">
        <v>3.9129999999999998</v>
      </c>
      <c r="AU15" s="1">
        <v>3.9129999999999998</v>
      </c>
      <c r="AV15" s="1">
        <v>3.9129999999999998</v>
      </c>
      <c r="AW15" s="1">
        <v>3.9129999999999998</v>
      </c>
      <c r="AX15" s="1">
        <v>3.9129999999999998</v>
      </c>
      <c r="AY15" s="1">
        <v>3.9129999999999998</v>
      </c>
      <c r="AZ15" s="1">
        <v>3.9129999999999998</v>
      </c>
      <c r="BA15" s="38">
        <v>3.9129999999999998</v>
      </c>
      <c r="BB15" s="58"/>
    </row>
    <row r="16" spans="2:54" ht="30.75" customHeight="1" x14ac:dyDescent="0.25">
      <c r="B16" s="63"/>
      <c r="C16" s="18" t="s">
        <v>21</v>
      </c>
      <c r="D16" s="21">
        <v>0.16300000000000003</v>
      </c>
      <c r="E16" s="50"/>
      <c r="F16" s="47" t="s">
        <v>14</v>
      </c>
      <c r="G16" s="22">
        <v>103.91143582410434</v>
      </c>
      <c r="H16" s="57"/>
      <c r="I16" s="12"/>
      <c r="J16" s="66"/>
      <c r="K16" s="12"/>
      <c r="L16" s="12"/>
      <c r="M16" s="12"/>
      <c r="N16" s="6"/>
      <c r="O16" s="6"/>
      <c r="P16" s="18" t="s">
        <v>21</v>
      </c>
      <c r="Q16" s="1">
        <v>44.097000000000001</v>
      </c>
      <c r="R16" s="1">
        <v>617</v>
      </c>
      <c r="S16" s="1">
        <v>205.93</v>
      </c>
      <c r="T16" s="3">
        <f t="shared" si="0"/>
        <v>734.4</v>
      </c>
      <c r="U16" s="1">
        <v>0.38846999999999998</v>
      </c>
      <c r="V16" s="1">
        <v>2315</v>
      </c>
      <c r="W16" s="1">
        <v>2516</v>
      </c>
      <c r="X16" s="1">
        <v>0.16300000000000001</v>
      </c>
      <c r="Y16" s="1">
        <v>0.16300000000000001</v>
      </c>
      <c r="Z16" s="1">
        <v>0.16300000000000001</v>
      </c>
      <c r="AA16" s="159">
        <v>0.16300000000000001</v>
      </c>
      <c r="AB16" s="1">
        <v>0.16300000000000001</v>
      </c>
      <c r="AC16" s="1">
        <v>0.16300000000000001</v>
      </c>
      <c r="AD16" s="1">
        <v>0.16300000000000001</v>
      </c>
      <c r="AE16" s="1">
        <v>0.16300000000000001</v>
      </c>
      <c r="AF16" s="1">
        <v>0.16300000000000001</v>
      </c>
      <c r="AG16" s="1">
        <v>0.16300000000000001</v>
      </c>
      <c r="AH16" s="1">
        <v>0.16300000000000001</v>
      </c>
      <c r="AI16" s="1">
        <v>0.16300000000000001</v>
      </c>
      <c r="AJ16" s="1">
        <v>0.16300000000000001</v>
      </c>
      <c r="AK16" s="1">
        <v>0.16300000000000001</v>
      </c>
      <c r="AL16" s="1">
        <v>0.16300000000000001</v>
      </c>
      <c r="AM16" s="1">
        <v>0.16300000000000001</v>
      </c>
      <c r="AN16" s="1">
        <v>0.16300000000000001</v>
      </c>
      <c r="AO16" s="1">
        <v>0.16300000000000001</v>
      </c>
      <c r="AP16" s="1">
        <v>0.16300000000000001</v>
      </c>
      <c r="AQ16" s="1">
        <v>0.16300000000000001</v>
      </c>
      <c r="AR16" s="1">
        <v>0.16300000000000001</v>
      </c>
      <c r="AS16" s="1">
        <v>0.16300000000000001</v>
      </c>
      <c r="AT16" s="1">
        <v>0.16300000000000001</v>
      </c>
      <c r="AU16" s="1">
        <v>0.16300000000000001</v>
      </c>
      <c r="AV16" s="1">
        <v>0.16300000000000001</v>
      </c>
      <c r="AW16" s="1">
        <v>0.16300000000000001</v>
      </c>
      <c r="AX16" s="1">
        <v>0.16300000000000001</v>
      </c>
      <c r="AY16" s="1">
        <v>0.16300000000000001</v>
      </c>
      <c r="AZ16" s="1">
        <v>0.16300000000000001</v>
      </c>
      <c r="BA16" s="38">
        <v>0.16300000000000001</v>
      </c>
      <c r="BB16" s="58"/>
    </row>
    <row r="17" spans="2:54" ht="35.25" customHeight="1" x14ac:dyDescent="0.25">
      <c r="B17" s="63"/>
      <c r="C17" s="18" t="s">
        <v>22</v>
      </c>
      <c r="D17" s="21">
        <v>2.6000000000000016E-2</v>
      </c>
      <c r="E17" s="50"/>
      <c r="F17" s="47" t="s">
        <v>11</v>
      </c>
      <c r="G17" s="22">
        <v>0.9694582981072144</v>
      </c>
      <c r="H17" s="57"/>
      <c r="I17" s="12"/>
      <c r="J17" s="66"/>
      <c r="K17" s="12"/>
      <c r="L17" s="12"/>
      <c r="M17" s="12"/>
      <c r="N17" s="6"/>
      <c r="O17" s="6"/>
      <c r="P17" s="18" t="s">
        <v>22</v>
      </c>
      <c r="Q17" s="1">
        <v>58.122999999999998</v>
      </c>
      <c r="R17" s="1">
        <v>527.9</v>
      </c>
      <c r="S17" s="1">
        <v>274.39999999999998</v>
      </c>
      <c r="T17" s="3">
        <f t="shared" si="0"/>
        <v>765.52</v>
      </c>
      <c r="U17" s="1">
        <v>0.38668999999999998</v>
      </c>
      <c r="V17" s="1">
        <v>3000</v>
      </c>
      <c r="W17" s="1">
        <v>3252</v>
      </c>
      <c r="X17" s="1">
        <v>2.5999999999999999E-2</v>
      </c>
      <c r="Y17" s="1">
        <v>2.5999999999999999E-2</v>
      </c>
      <c r="Z17" s="1">
        <v>2.5999999999999999E-2</v>
      </c>
      <c r="AA17" s="159">
        <v>2.5999999999999999E-2</v>
      </c>
      <c r="AB17" s="1">
        <v>2.5999999999999999E-2</v>
      </c>
      <c r="AC17" s="1">
        <v>2.5999999999999999E-2</v>
      </c>
      <c r="AD17" s="1">
        <v>2.5999999999999999E-2</v>
      </c>
      <c r="AE17" s="1">
        <v>2.5999999999999999E-2</v>
      </c>
      <c r="AF17" s="1">
        <v>2.5999999999999999E-2</v>
      </c>
      <c r="AG17" s="1">
        <v>2.5999999999999999E-2</v>
      </c>
      <c r="AH17" s="1">
        <v>2.5999999999999999E-2</v>
      </c>
      <c r="AI17" s="1">
        <v>2.5999999999999999E-2</v>
      </c>
      <c r="AJ17" s="1">
        <v>2.5999999999999999E-2</v>
      </c>
      <c r="AK17" s="1">
        <v>2.5999999999999999E-2</v>
      </c>
      <c r="AL17" s="1">
        <v>2.5999999999999999E-2</v>
      </c>
      <c r="AM17" s="1">
        <v>2.5999999999999999E-2</v>
      </c>
      <c r="AN17" s="1">
        <v>2.5999999999999999E-2</v>
      </c>
      <c r="AO17" s="1">
        <v>2.5999999999999999E-2</v>
      </c>
      <c r="AP17" s="1">
        <v>2.5999999999999999E-2</v>
      </c>
      <c r="AQ17" s="1">
        <v>2.5999999999999999E-2</v>
      </c>
      <c r="AR17" s="1">
        <v>2.5999999999999999E-2</v>
      </c>
      <c r="AS17" s="1">
        <v>2.5999999999999999E-2</v>
      </c>
      <c r="AT17" s="1">
        <v>2.5999999999999999E-2</v>
      </c>
      <c r="AU17" s="1">
        <v>2.5999999999999999E-2</v>
      </c>
      <c r="AV17" s="1">
        <v>2.5999999999999999E-2</v>
      </c>
      <c r="AW17" s="1">
        <v>2.5999999999999999E-2</v>
      </c>
      <c r="AX17" s="1">
        <v>2.5999999999999999E-2</v>
      </c>
      <c r="AY17" s="1">
        <v>2.5999999999999999E-2</v>
      </c>
      <c r="AZ17" s="1">
        <v>2.5999999999999999E-2</v>
      </c>
      <c r="BA17" s="38">
        <v>2.5999999999999999E-2</v>
      </c>
      <c r="BB17" s="58"/>
    </row>
    <row r="18" spans="2:54" ht="35.25" customHeight="1" x14ac:dyDescent="0.25">
      <c r="B18" s="63"/>
      <c r="C18" s="18" t="s">
        <v>23</v>
      </c>
      <c r="D18" s="21">
        <v>2.4E-2</v>
      </c>
      <c r="E18" s="50"/>
      <c r="F18" s="47" t="s">
        <v>15</v>
      </c>
      <c r="G18" s="22">
        <v>0.58159267162710382</v>
      </c>
      <c r="H18" s="57"/>
      <c r="I18" s="12"/>
      <c r="J18" s="66"/>
      <c r="K18" s="12"/>
      <c r="L18" s="12"/>
      <c r="M18" s="12"/>
      <c r="N18" s="6"/>
      <c r="O18" s="6"/>
      <c r="P18" s="18" t="s">
        <v>23</v>
      </c>
      <c r="Q18" s="1">
        <v>58.122999999999998</v>
      </c>
      <c r="R18" s="1">
        <v>548.79999999999995</v>
      </c>
      <c r="S18" s="1">
        <v>305.52</v>
      </c>
      <c r="T18" s="3">
        <f t="shared" si="0"/>
        <v>828.96</v>
      </c>
      <c r="U18" s="1">
        <v>0.39500000000000002</v>
      </c>
      <c r="V18" s="1">
        <v>3011</v>
      </c>
      <c r="W18" s="1">
        <v>3262</v>
      </c>
      <c r="X18" s="1">
        <v>2.4E-2</v>
      </c>
      <c r="Y18" s="1">
        <v>2.4E-2</v>
      </c>
      <c r="Z18" s="1">
        <v>2.4E-2</v>
      </c>
      <c r="AA18" s="159">
        <v>2.4E-2</v>
      </c>
      <c r="AB18" s="1">
        <v>2.4E-2</v>
      </c>
      <c r="AC18" s="1">
        <v>2.4E-2</v>
      </c>
      <c r="AD18" s="1">
        <v>2.4E-2</v>
      </c>
      <c r="AE18" s="1">
        <v>2.4E-2</v>
      </c>
      <c r="AF18" s="1">
        <v>2.4E-2</v>
      </c>
      <c r="AG18" s="1">
        <v>2.4E-2</v>
      </c>
      <c r="AH18" s="1">
        <v>2.4E-2</v>
      </c>
      <c r="AI18" s="1">
        <v>2.4E-2</v>
      </c>
      <c r="AJ18" s="1">
        <v>2.4E-2</v>
      </c>
      <c r="AK18" s="1">
        <v>2.4E-2</v>
      </c>
      <c r="AL18" s="1">
        <v>2.4E-2</v>
      </c>
      <c r="AM18" s="1">
        <v>2.4E-2</v>
      </c>
      <c r="AN18" s="1">
        <v>2.4E-2</v>
      </c>
      <c r="AO18" s="1">
        <v>2.4E-2</v>
      </c>
      <c r="AP18" s="1">
        <v>2.4E-2</v>
      </c>
      <c r="AQ18" s="1">
        <v>2.4E-2</v>
      </c>
      <c r="AR18" s="1">
        <v>2.4E-2</v>
      </c>
      <c r="AS18" s="1">
        <v>2.4E-2</v>
      </c>
      <c r="AT18" s="1">
        <v>2.4E-2</v>
      </c>
      <c r="AU18" s="1">
        <v>2.4E-2</v>
      </c>
      <c r="AV18" s="1">
        <v>2.4E-2</v>
      </c>
      <c r="AW18" s="1">
        <v>2.4E-2</v>
      </c>
      <c r="AX18" s="1">
        <v>2.4E-2</v>
      </c>
      <c r="AY18" s="1">
        <v>2.4E-2</v>
      </c>
      <c r="AZ18" s="1">
        <v>2.4E-2</v>
      </c>
      <c r="BA18" s="38">
        <v>2.4E-2</v>
      </c>
      <c r="BB18" s="58"/>
    </row>
    <row r="19" spans="2:54" ht="37.5" customHeight="1" x14ac:dyDescent="0.25">
      <c r="B19" s="63"/>
      <c r="C19" s="18" t="s">
        <v>24</v>
      </c>
      <c r="D19" s="21">
        <v>9.0000000000000041E-4</v>
      </c>
      <c r="E19" s="50"/>
      <c r="F19" s="47" t="s">
        <v>44</v>
      </c>
      <c r="G19" s="22">
        <v>1037.7138289999994</v>
      </c>
      <c r="H19" s="57"/>
      <c r="I19" s="12"/>
      <c r="J19" s="66"/>
      <c r="K19" s="12"/>
      <c r="L19" s="12"/>
      <c r="M19" s="12"/>
      <c r="N19" s="6"/>
      <c r="O19" s="6"/>
      <c r="P19" s="18" t="s">
        <v>24</v>
      </c>
      <c r="Q19" s="1">
        <v>72.150000000000006</v>
      </c>
      <c r="R19" s="1">
        <v>490.4</v>
      </c>
      <c r="S19" s="1">
        <v>368.96</v>
      </c>
      <c r="T19" s="3">
        <f t="shared" si="0"/>
        <v>845.7</v>
      </c>
      <c r="U19" s="1">
        <v>0.38447999999999999</v>
      </c>
      <c r="V19" s="1">
        <v>3699</v>
      </c>
      <c r="W19" s="1">
        <v>4001</v>
      </c>
      <c r="X19" s="1">
        <v>8.9999999999999998E-4</v>
      </c>
      <c r="Y19" s="1">
        <v>8.9999999999999998E-4</v>
      </c>
      <c r="Z19" s="1">
        <v>8.9999999999999998E-4</v>
      </c>
      <c r="AA19" s="159">
        <v>8.9999999999999998E-4</v>
      </c>
      <c r="AB19" s="1">
        <v>8.9999999999999998E-4</v>
      </c>
      <c r="AC19" s="1">
        <v>8.9999999999999998E-4</v>
      </c>
      <c r="AD19" s="1">
        <v>8.9999999999999998E-4</v>
      </c>
      <c r="AE19" s="1">
        <v>8.9999999999999998E-4</v>
      </c>
      <c r="AF19" s="1">
        <v>8.9999999999999998E-4</v>
      </c>
      <c r="AG19" s="1">
        <v>8.9999999999999998E-4</v>
      </c>
      <c r="AH19" s="1">
        <v>8.9999999999999998E-4</v>
      </c>
      <c r="AI19" s="1">
        <v>8.9999999999999998E-4</v>
      </c>
      <c r="AJ19" s="1">
        <v>8.9999999999999998E-4</v>
      </c>
      <c r="AK19" s="1">
        <v>8.9999999999999998E-4</v>
      </c>
      <c r="AL19" s="1">
        <v>8.9999999999999998E-4</v>
      </c>
      <c r="AM19" s="1">
        <v>8.9999999999999998E-4</v>
      </c>
      <c r="AN19" s="1">
        <v>8.9999999999999998E-4</v>
      </c>
      <c r="AO19" s="1">
        <v>8.9999999999999998E-4</v>
      </c>
      <c r="AP19" s="1">
        <v>8.9999999999999998E-4</v>
      </c>
      <c r="AQ19" s="1">
        <v>8.9999999999999998E-4</v>
      </c>
      <c r="AR19" s="1">
        <v>8.9999999999999998E-4</v>
      </c>
      <c r="AS19" s="1">
        <v>8.9999999999999998E-4</v>
      </c>
      <c r="AT19" s="1">
        <v>8.9999999999999998E-4</v>
      </c>
      <c r="AU19" s="1">
        <v>8.9999999999999998E-4</v>
      </c>
      <c r="AV19" s="1">
        <v>8.9999999999999998E-4</v>
      </c>
      <c r="AW19" s="1">
        <v>8.9999999999999998E-4</v>
      </c>
      <c r="AX19" s="1">
        <v>8.9999999999999998E-4</v>
      </c>
      <c r="AY19" s="1">
        <v>8.9999999999999998E-4</v>
      </c>
      <c r="AZ19" s="1">
        <v>8.9999999999999998E-4</v>
      </c>
      <c r="BA19" s="38">
        <v>8.9999999999999998E-4</v>
      </c>
      <c r="BB19" s="58"/>
    </row>
    <row r="20" spans="2:54" ht="30" customHeight="1" x14ac:dyDescent="0.25">
      <c r="B20" s="63"/>
      <c r="C20" s="18" t="s">
        <v>25</v>
      </c>
      <c r="D20" s="21">
        <v>5.0000000000000001E-3</v>
      </c>
      <c r="E20" s="50"/>
      <c r="F20" s="27" t="s">
        <v>45</v>
      </c>
      <c r="G20" s="22">
        <v>935.11189099999979</v>
      </c>
      <c r="H20" s="57"/>
      <c r="I20" s="12"/>
      <c r="J20" s="66"/>
      <c r="K20" s="12"/>
      <c r="L20" s="12"/>
      <c r="M20" s="12"/>
      <c r="N20" s="6"/>
      <c r="O20" s="6"/>
      <c r="P20" s="18" t="s">
        <v>25</v>
      </c>
      <c r="Q20" s="1">
        <v>72.150000000000006</v>
      </c>
      <c r="R20" s="1">
        <v>488.1</v>
      </c>
      <c r="S20" s="1">
        <v>385.7</v>
      </c>
      <c r="T20" s="3">
        <f t="shared" si="0"/>
        <v>781.01</v>
      </c>
      <c r="U20" s="1">
        <v>0.38830999999999999</v>
      </c>
      <c r="V20" s="1">
        <v>3704</v>
      </c>
      <c r="W20" s="1">
        <v>4009</v>
      </c>
      <c r="X20" s="1">
        <v>5.0000000000000001E-3</v>
      </c>
      <c r="Y20" s="1">
        <v>5.0000000000000001E-3</v>
      </c>
      <c r="Z20" s="1">
        <v>5.0000000000000001E-3</v>
      </c>
      <c r="AA20" s="159">
        <v>5.0000000000000001E-3</v>
      </c>
      <c r="AB20" s="1">
        <v>5.0000000000000001E-3</v>
      </c>
      <c r="AC20" s="1">
        <v>5.0000000000000001E-3</v>
      </c>
      <c r="AD20" s="1">
        <v>5.0000000000000001E-3</v>
      </c>
      <c r="AE20" s="1">
        <v>5.0000000000000001E-3</v>
      </c>
      <c r="AF20" s="1">
        <v>5.0000000000000001E-3</v>
      </c>
      <c r="AG20" s="1">
        <v>5.0000000000000001E-3</v>
      </c>
      <c r="AH20" s="1">
        <v>5.0000000000000001E-3</v>
      </c>
      <c r="AI20" s="1">
        <v>5.0000000000000001E-3</v>
      </c>
      <c r="AJ20" s="1">
        <v>5.0000000000000001E-3</v>
      </c>
      <c r="AK20" s="1">
        <v>5.0000000000000001E-3</v>
      </c>
      <c r="AL20" s="1">
        <v>5.0000000000000001E-3</v>
      </c>
      <c r="AM20" s="1">
        <v>5.0000000000000001E-3</v>
      </c>
      <c r="AN20" s="1">
        <v>5.0000000000000001E-3</v>
      </c>
      <c r="AO20" s="1">
        <v>5.0000000000000001E-3</v>
      </c>
      <c r="AP20" s="1">
        <v>5.0000000000000001E-3</v>
      </c>
      <c r="AQ20" s="1">
        <v>5.0000000000000001E-3</v>
      </c>
      <c r="AR20" s="1">
        <v>5.0000000000000001E-3</v>
      </c>
      <c r="AS20" s="1">
        <v>5.0000000000000001E-3</v>
      </c>
      <c r="AT20" s="1">
        <v>5.0000000000000001E-3</v>
      </c>
      <c r="AU20" s="1">
        <v>5.0000000000000001E-3</v>
      </c>
      <c r="AV20" s="1">
        <v>5.0000000000000001E-3</v>
      </c>
      <c r="AW20" s="1">
        <v>5.0000000000000001E-3</v>
      </c>
      <c r="AX20" s="1">
        <v>5.0000000000000001E-3</v>
      </c>
      <c r="AY20" s="1">
        <v>5.0000000000000001E-3</v>
      </c>
      <c r="AZ20" s="1">
        <v>5.0000000000000001E-3</v>
      </c>
      <c r="BA20" s="38">
        <v>5.0000000000000001E-3</v>
      </c>
      <c r="BB20" s="58"/>
    </row>
    <row r="21" spans="2:54" ht="27.75" customHeight="1" x14ac:dyDescent="0.25">
      <c r="B21" s="63"/>
      <c r="C21" s="18" t="s">
        <v>26</v>
      </c>
      <c r="D21" s="21">
        <v>0</v>
      </c>
      <c r="E21" s="50"/>
      <c r="F21" s="47" t="s">
        <v>16</v>
      </c>
      <c r="G21" s="22">
        <v>1.2796627766785638E-2</v>
      </c>
      <c r="H21" s="57"/>
      <c r="I21" s="12"/>
      <c r="J21" s="66"/>
      <c r="K21" s="12"/>
      <c r="L21" s="12"/>
      <c r="M21" s="12"/>
      <c r="N21" s="6"/>
      <c r="O21" s="6"/>
      <c r="P21" s="18" t="s">
        <v>26</v>
      </c>
      <c r="Q21" s="1">
        <v>86.177000000000007</v>
      </c>
      <c r="R21" s="1">
        <v>464</v>
      </c>
      <c r="S21" s="1">
        <v>321.01</v>
      </c>
      <c r="T21" s="3">
        <f t="shared" si="0"/>
        <v>913.8</v>
      </c>
      <c r="U21" s="1">
        <v>0.39038</v>
      </c>
      <c r="V21" s="1">
        <v>3685</v>
      </c>
      <c r="W21" s="1">
        <v>3987</v>
      </c>
      <c r="X21" s="1">
        <v>0</v>
      </c>
      <c r="Y21" s="1">
        <v>0</v>
      </c>
      <c r="Z21" s="1">
        <v>0</v>
      </c>
      <c r="AA21" s="159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38">
        <v>0</v>
      </c>
      <c r="BB21" s="58"/>
    </row>
    <row r="22" spans="2:54" ht="21.75" customHeight="1" thickBot="1" x14ac:dyDescent="0.3">
      <c r="B22" s="63"/>
      <c r="C22" s="18" t="s">
        <v>27</v>
      </c>
      <c r="D22" s="21">
        <v>8.0000000000000002E-3</v>
      </c>
      <c r="E22" s="50"/>
      <c r="F22" s="55" t="s">
        <v>41</v>
      </c>
      <c r="G22" s="48">
        <v>0.51967074321999973</v>
      </c>
      <c r="H22" s="57"/>
      <c r="I22" s="6"/>
      <c r="J22" s="63"/>
      <c r="K22" s="6"/>
      <c r="L22" s="6"/>
      <c r="M22" s="6"/>
      <c r="N22" s="6"/>
      <c r="O22" s="6"/>
      <c r="P22" s="18" t="s">
        <v>27</v>
      </c>
      <c r="Q22" s="1">
        <v>86.177000000000007</v>
      </c>
      <c r="R22" s="1">
        <v>436.9</v>
      </c>
      <c r="S22" s="1">
        <v>453.8</v>
      </c>
      <c r="T22" s="3">
        <f t="shared" si="0"/>
        <v>972.8</v>
      </c>
      <c r="U22" s="1">
        <v>0.38630999999999999</v>
      </c>
      <c r="V22" s="1">
        <v>4404</v>
      </c>
      <c r="W22" s="1">
        <v>4756</v>
      </c>
      <c r="X22" s="1">
        <v>8.0000000000000002E-3</v>
      </c>
      <c r="Y22" s="1">
        <v>8.0000000000000002E-3</v>
      </c>
      <c r="Z22" s="1">
        <v>8.0000000000000002E-3</v>
      </c>
      <c r="AA22" s="159">
        <v>8.0000000000000002E-3</v>
      </c>
      <c r="AB22" s="1">
        <v>8.0000000000000002E-3</v>
      </c>
      <c r="AC22" s="1">
        <v>8.0000000000000002E-3</v>
      </c>
      <c r="AD22" s="1">
        <v>8.0000000000000002E-3</v>
      </c>
      <c r="AE22" s="1">
        <v>8.0000000000000002E-3</v>
      </c>
      <c r="AF22" s="1">
        <v>8.0000000000000002E-3</v>
      </c>
      <c r="AG22" s="1">
        <v>8.0000000000000002E-3</v>
      </c>
      <c r="AH22" s="1">
        <v>8.0000000000000002E-3</v>
      </c>
      <c r="AI22" s="1">
        <v>8.0000000000000002E-3</v>
      </c>
      <c r="AJ22" s="1">
        <v>8.0000000000000002E-3</v>
      </c>
      <c r="AK22" s="1">
        <v>8.0000000000000002E-3</v>
      </c>
      <c r="AL22" s="1">
        <v>8.0000000000000002E-3</v>
      </c>
      <c r="AM22" s="1">
        <v>8.0000000000000002E-3</v>
      </c>
      <c r="AN22" s="1">
        <v>8.0000000000000002E-3</v>
      </c>
      <c r="AO22" s="1">
        <v>8.0000000000000002E-3</v>
      </c>
      <c r="AP22" s="1">
        <v>8.0000000000000002E-3</v>
      </c>
      <c r="AQ22" s="1">
        <v>8.0000000000000002E-3</v>
      </c>
      <c r="AR22" s="1">
        <v>8.0000000000000002E-3</v>
      </c>
      <c r="AS22" s="1">
        <v>8.0000000000000002E-3</v>
      </c>
      <c r="AT22" s="1">
        <v>8.0000000000000002E-3</v>
      </c>
      <c r="AU22" s="1">
        <v>8.0000000000000002E-3</v>
      </c>
      <c r="AV22" s="1">
        <v>8.0000000000000002E-3</v>
      </c>
      <c r="AW22" s="1">
        <v>8.0000000000000002E-3</v>
      </c>
      <c r="AX22" s="1">
        <v>8.0000000000000002E-3</v>
      </c>
      <c r="AY22" s="1">
        <v>8.0000000000000002E-3</v>
      </c>
      <c r="AZ22" s="1">
        <v>8.0000000000000002E-3</v>
      </c>
      <c r="BA22" s="38">
        <v>8.0000000000000002E-3</v>
      </c>
      <c r="BB22" s="58"/>
    </row>
    <row r="23" spans="2:54" ht="15.75" thickTop="1" x14ac:dyDescent="0.25">
      <c r="B23" s="63"/>
      <c r="C23" s="18" t="s">
        <v>28</v>
      </c>
      <c r="D23" s="21">
        <v>8.0000000000000002E-3</v>
      </c>
      <c r="E23" s="6"/>
      <c r="F23" s="6"/>
      <c r="G23" s="6"/>
      <c r="H23" s="58"/>
      <c r="I23" s="6"/>
      <c r="J23" s="63"/>
      <c r="K23" s="6"/>
      <c r="L23" s="6"/>
      <c r="M23" s="6"/>
      <c r="N23" s="6"/>
      <c r="O23" s="6"/>
      <c r="P23" s="18" t="s">
        <v>28</v>
      </c>
      <c r="Q23" s="1">
        <v>100.24</v>
      </c>
      <c r="R23" s="1">
        <v>396.8</v>
      </c>
      <c r="S23" s="1">
        <v>512.79999999999995</v>
      </c>
      <c r="T23" s="3">
        <f t="shared" si="0"/>
        <v>1024.1500000000001</v>
      </c>
      <c r="U23" s="1">
        <v>0.38449</v>
      </c>
      <c r="V23" s="1">
        <v>5100</v>
      </c>
      <c r="W23" s="1">
        <v>5503</v>
      </c>
      <c r="X23" s="1">
        <v>8.0000000000000002E-3</v>
      </c>
      <c r="Y23" s="1">
        <v>8.0000000000000002E-3</v>
      </c>
      <c r="Z23" s="1">
        <v>8.0000000000000002E-3</v>
      </c>
      <c r="AA23" s="159">
        <v>8.0000000000000002E-3</v>
      </c>
      <c r="AB23" s="1">
        <v>8.0000000000000002E-3</v>
      </c>
      <c r="AC23" s="1">
        <v>8.0000000000000002E-3</v>
      </c>
      <c r="AD23" s="1">
        <v>8.0000000000000002E-3</v>
      </c>
      <c r="AE23" s="1">
        <v>8.0000000000000002E-3</v>
      </c>
      <c r="AF23" s="1">
        <v>8.0000000000000002E-3</v>
      </c>
      <c r="AG23" s="1">
        <v>8.0000000000000002E-3</v>
      </c>
      <c r="AH23" s="1">
        <v>8.0000000000000002E-3</v>
      </c>
      <c r="AI23" s="1">
        <v>8.0000000000000002E-3</v>
      </c>
      <c r="AJ23" s="1">
        <v>8.0000000000000002E-3</v>
      </c>
      <c r="AK23" s="1">
        <v>8.0000000000000002E-3</v>
      </c>
      <c r="AL23" s="1">
        <v>8.0000000000000002E-3</v>
      </c>
      <c r="AM23" s="1">
        <v>8.0000000000000002E-3</v>
      </c>
      <c r="AN23" s="1">
        <v>8.0000000000000002E-3</v>
      </c>
      <c r="AO23" s="1">
        <v>8.0000000000000002E-3</v>
      </c>
      <c r="AP23" s="1">
        <v>8.0000000000000002E-3</v>
      </c>
      <c r="AQ23" s="1">
        <v>8.0000000000000002E-3</v>
      </c>
      <c r="AR23" s="1">
        <v>8.0000000000000002E-3</v>
      </c>
      <c r="AS23" s="1">
        <v>8.0000000000000002E-3</v>
      </c>
      <c r="AT23" s="1">
        <v>8.0000000000000002E-3</v>
      </c>
      <c r="AU23" s="1">
        <v>8.0000000000000002E-3</v>
      </c>
      <c r="AV23" s="1">
        <v>8.0000000000000002E-3</v>
      </c>
      <c r="AW23" s="1">
        <v>8.0000000000000002E-3</v>
      </c>
      <c r="AX23" s="1">
        <v>8.0000000000000002E-3</v>
      </c>
      <c r="AY23" s="1">
        <v>8.0000000000000002E-3</v>
      </c>
      <c r="AZ23" s="1">
        <v>8.0000000000000002E-3</v>
      </c>
      <c r="BA23" s="38">
        <v>8.0000000000000002E-3</v>
      </c>
      <c r="BB23" s="58"/>
    </row>
    <row r="24" spans="2:54" x14ac:dyDescent="0.25">
      <c r="B24" s="63"/>
      <c r="C24" s="18" t="s">
        <v>29</v>
      </c>
      <c r="D24" s="21">
        <v>3.0000000000000001E-3</v>
      </c>
      <c r="E24" s="6"/>
      <c r="F24" s="6"/>
      <c r="G24" s="6"/>
      <c r="H24" s="58"/>
      <c r="I24" s="6"/>
      <c r="J24" s="63"/>
      <c r="K24" s="6"/>
      <c r="L24" s="6"/>
      <c r="M24" s="6"/>
      <c r="N24" s="6"/>
      <c r="O24" s="6"/>
      <c r="P24" s="18" t="s">
        <v>29</v>
      </c>
      <c r="Q24" s="1">
        <v>114.23099999999999</v>
      </c>
      <c r="R24" s="1">
        <v>360.7</v>
      </c>
      <c r="S24" s="1">
        <v>564.15</v>
      </c>
      <c r="T24" s="3">
        <f t="shared" si="0"/>
        <v>1070.72</v>
      </c>
      <c r="U24" s="1">
        <v>0.38334000000000001</v>
      </c>
      <c r="V24" s="1">
        <v>5796</v>
      </c>
      <c r="W24" s="1">
        <v>6249</v>
      </c>
      <c r="X24" s="1">
        <v>3.0000000000000001E-3</v>
      </c>
      <c r="Y24" s="1">
        <v>3.0000000000000001E-3</v>
      </c>
      <c r="Z24" s="1">
        <v>3.0000000000000001E-3</v>
      </c>
      <c r="AA24" s="159">
        <v>3.0000000000000001E-3</v>
      </c>
      <c r="AB24" s="1">
        <v>3.0000000000000001E-3</v>
      </c>
      <c r="AC24" s="1">
        <v>3.0000000000000001E-3</v>
      </c>
      <c r="AD24" s="1">
        <v>3.0000000000000001E-3</v>
      </c>
      <c r="AE24" s="1">
        <v>3.0000000000000001E-3</v>
      </c>
      <c r="AF24" s="1">
        <v>3.0000000000000001E-3</v>
      </c>
      <c r="AG24" s="1">
        <v>3.0000000000000001E-3</v>
      </c>
      <c r="AH24" s="1">
        <v>3.0000000000000001E-3</v>
      </c>
      <c r="AI24" s="1">
        <v>3.0000000000000001E-3</v>
      </c>
      <c r="AJ24" s="1">
        <v>3.0000000000000001E-3</v>
      </c>
      <c r="AK24" s="1">
        <v>3.0000000000000001E-3</v>
      </c>
      <c r="AL24" s="1">
        <v>3.0000000000000001E-3</v>
      </c>
      <c r="AM24" s="1">
        <v>3.0000000000000001E-3</v>
      </c>
      <c r="AN24" s="1">
        <v>3.0000000000000001E-3</v>
      </c>
      <c r="AO24" s="1">
        <v>3.0000000000000001E-3</v>
      </c>
      <c r="AP24" s="1">
        <v>3.0000000000000001E-3</v>
      </c>
      <c r="AQ24" s="1">
        <v>3.0000000000000001E-3</v>
      </c>
      <c r="AR24" s="1">
        <v>3.0000000000000001E-3</v>
      </c>
      <c r="AS24" s="1">
        <v>3.0000000000000001E-3</v>
      </c>
      <c r="AT24" s="1">
        <v>3.0000000000000001E-3</v>
      </c>
      <c r="AU24" s="1">
        <v>3.0000000000000001E-3</v>
      </c>
      <c r="AV24" s="1">
        <v>3.0000000000000001E-3</v>
      </c>
      <c r="AW24" s="1">
        <v>3.0000000000000001E-3</v>
      </c>
      <c r="AX24" s="1">
        <v>3.0000000000000001E-3</v>
      </c>
      <c r="AY24" s="1">
        <v>3.0000000000000001E-3</v>
      </c>
      <c r="AZ24" s="1">
        <v>3.0000000000000001E-3</v>
      </c>
      <c r="BA24" s="38">
        <v>3.0000000000000001E-3</v>
      </c>
      <c r="BB24" s="58"/>
    </row>
    <row r="25" spans="2:54" x14ac:dyDescent="0.25">
      <c r="B25" s="63"/>
      <c r="C25" s="18" t="s">
        <v>30</v>
      </c>
      <c r="D25" s="21">
        <v>0</v>
      </c>
      <c r="E25" s="6"/>
      <c r="F25" s="6"/>
      <c r="G25" s="6"/>
      <c r="H25" s="58"/>
      <c r="I25" s="6"/>
      <c r="J25" s="63"/>
      <c r="K25" s="6"/>
      <c r="L25" s="6"/>
      <c r="M25" s="6"/>
      <c r="N25" s="6"/>
      <c r="O25" s="6"/>
      <c r="P25" s="18" t="s">
        <v>30</v>
      </c>
      <c r="Q25" s="1">
        <v>128.25800000000001</v>
      </c>
      <c r="R25" s="1">
        <v>330.7</v>
      </c>
      <c r="S25" s="1">
        <v>610.72</v>
      </c>
      <c r="T25" s="3">
        <f t="shared" si="0"/>
        <v>1112.0999999999999</v>
      </c>
      <c r="U25" s="1">
        <v>0.38222</v>
      </c>
      <c r="V25" s="1">
        <v>6494</v>
      </c>
      <c r="W25" s="1">
        <v>6997</v>
      </c>
      <c r="X25" s="1">
        <v>0</v>
      </c>
      <c r="Y25" s="1">
        <v>0</v>
      </c>
      <c r="Z25" s="1">
        <v>0</v>
      </c>
      <c r="AA25" s="159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38">
        <v>0</v>
      </c>
      <c r="BB25" s="58"/>
    </row>
    <row r="26" spans="2:54" x14ac:dyDescent="0.25">
      <c r="B26" s="63"/>
      <c r="C26" s="18" t="s">
        <v>31</v>
      </c>
      <c r="D26" s="21">
        <v>0</v>
      </c>
      <c r="E26" s="6"/>
      <c r="F26" s="6"/>
      <c r="G26" s="6"/>
      <c r="H26" s="58"/>
      <c r="I26" s="6"/>
      <c r="J26" s="63"/>
      <c r="K26" s="6"/>
      <c r="L26" s="6"/>
      <c r="M26" s="6"/>
      <c r="N26" s="6"/>
      <c r="O26" s="6"/>
      <c r="P26" s="18" t="s">
        <v>31</v>
      </c>
      <c r="Q26" s="1">
        <v>142.285</v>
      </c>
      <c r="R26" s="1">
        <v>304.60000000000002</v>
      </c>
      <c r="S26" s="1">
        <v>652.1</v>
      </c>
      <c r="T26" s="3">
        <f t="shared" si="0"/>
        <v>239.49</v>
      </c>
      <c r="U26" s="1">
        <v>0.38180999999999998</v>
      </c>
      <c r="V26" s="1">
        <v>7190</v>
      </c>
      <c r="W26" s="1">
        <v>7743</v>
      </c>
      <c r="X26" s="1">
        <v>0</v>
      </c>
      <c r="Y26" s="1">
        <v>0</v>
      </c>
      <c r="Z26" s="1">
        <v>0</v>
      </c>
      <c r="AA26" s="159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38">
        <v>0</v>
      </c>
      <c r="BB26" s="58"/>
    </row>
    <row r="27" spans="2:54" x14ac:dyDescent="0.25">
      <c r="B27" s="63"/>
      <c r="C27" s="18" t="s">
        <v>32</v>
      </c>
      <c r="D27" s="21">
        <v>0.56499999999999995</v>
      </c>
      <c r="E27" s="6"/>
      <c r="F27" s="6"/>
      <c r="G27" s="6"/>
      <c r="H27" s="58"/>
      <c r="I27" s="6"/>
      <c r="J27" s="63"/>
      <c r="K27" s="6"/>
      <c r="L27" s="6"/>
      <c r="M27" s="6"/>
      <c r="N27" s="6"/>
      <c r="O27" s="6"/>
      <c r="P27" s="18" t="s">
        <v>32</v>
      </c>
      <c r="Q27" s="1">
        <v>44.01</v>
      </c>
      <c r="R27" s="1">
        <v>1071</v>
      </c>
      <c r="S27" s="1">
        <v>-220.51</v>
      </c>
      <c r="T27" s="3">
        <f t="shared" si="0"/>
        <v>227.52</v>
      </c>
      <c r="U27" s="1">
        <v>0.19908999999999999</v>
      </c>
      <c r="V27" s="1">
        <v>0</v>
      </c>
      <c r="W27" s="1">
        <v>0</v>
      </c>
      <c r="X27" s="1">
        <v>0.56499999999999995</v>
      </c>
      <c r="Y27" s="1">
        <v>0.56499999999999995</v>
      </c>
      <c r="Z27" s="1">
        <v>0.56499999999999995</v>
      </c>
      <c r="AA27" s="159">
        <v>0.56499999999999995</v>
      </c>
      <c r="AB27" s="1">
        <v>0.56499999999999995</v>
      </c>
      <c r="AC27" s="1">
        <v>0.56499999999999995</v>
      </c>
      <c r="AD27" s="1">
        <v>0.56499999999999995</v>
      </c>
      <c r="AE27" s="1">
        <v>0.56499999999999995</v>
      </c>
      <c r="AF27" s="1">
        <v>0.56499999999999995</v>
      </c>
      <c r="AG27" s="1">
        <v>0.56499999999999995</v>
      </c>
      <c r="AH27" s="1">
        <v>0.56499999999999995</v>
      </c>
      <c r="AI27" s="1">
        <v>0.56499999999999995</v>
      </c>
      <c r="AJ27" s="1">
        <v>0.56499999999999995</v>
      </c>
      <c r="AK27" s="1">
        <v>0.56499999999999995</v>
      </c>
      <c r="AL27" s="1">
        <v>0.56499999999999995</v>
      </c>
      <c r="AM27" s="1">
        <v>0.56499999999999995</v>
      </c>
      <c r="AN27" s="1">
        <v>0.56499999999999995</v>
      </c>
      <c r="AO27" s="1">
        <v>0.56499999999999995</v>
      </c>
      <c r="AP27" s="1">
        <v>0.56499999999999995</v>
      </c>
      <c r="AQ27" s="1">
        <v>0.56499999999999995</v>
      </c>
      <c r="AR27" s="1">
        <v>0.56499999999999995</v>
      </c>
      <c r="AS27" s="1">
        <v>0.56499999999999995</v>
      </c>
      <c r="AT27" s="1">
        <v>0.56499999999999995</v>
      </c>
      <c r="AU27" s="1">
        <v>0.56499999999999995</v>
      </c>
      <c r="AV27" s="1">
        <v>0.56499999999999995</v>
      </c>
      <c r="AW27" s="1">
        <v>0.56499999999999995</v>
      </c>
      <c r="AX27" s="1">
        <v>0.56499999999999995</v>
      </c>
      <c r="AY27" s="1">
        <v>0.56499999999999995</v>
      </c>
      <c r="AZ27" s="1">
        <v>0.56499999999999995</v>
      </c>
      <c r="BA27" s="38">
        <v>0.56499999999999995</v>
      </c>
      <c r="BB27" s="58"/>
    </row>
    <row r="28" spans="2:54" x14ac:dyDescent="0.25">
      <c r="B28" s="63"/>
      <c r="C28" s="18" t="s">
        <v>33</v>
      </c>
      <c r="D28" s="21">
        <v>8.3000000000000032E-2</v>
      </c>
      <c r="E28" s="6"/>
      <c r="F28" s="6"/>
      <c r="G28" s="6"/>
      <c r="H28" s="58"/>
      <c r="I28" s="6"/>
      <c r="J28" s="63"/>
      <c r="K28" s="6"/>
      <c r="L28" s="6"/>
      <c r="M28" s="6"/>
      <c r="N28" s="6"/>
      <c r="O28" s="6"/>
      <c r="P28" s="18" t="s">
        <v>33</v>
      </c>
      <c r="Q28" s="1">
        <v>28.013400000000001</v>
      </c>
      <c r="R28" s="1">
        <v>493</v>
      </c>
      <c r="S28" s="1">
        <v>-232.48</v>
      </c>
      <c r="T28" s="3">
        <f t="shared" si="0"/>
        <v>278.60000000000002</v>
      </c>
      <c r="U28" s="1">
        <v>0.24833</v>
      </c>
      <c r="V28" s="1">
        <v>0</v>
      </c>
      <c r="W28" s="1">
        <v>0</v>
      </c>
      <c r="X28" s="1">
        <v>8.3000000000000004E-2</v>
      </c>
      <c r="Y28" s="1">
        <v>8.3000000000000004E-2</v>
      </c>
      <c r="Z28" s="1">
        <v>8.3000000000000004E-2</v>
      </c>
      <c r="AA28" s="159">
        <v>8.3000000000000004E-2</v>
      </c>
      <c r="AB28" s="1">
        <v>8.3000000000000004E-2</v>
      </c>
      <c r="AC28" s="1">
        <v>8.3000000000000004E-2</v>
      </c>
      <c r="AD28" s="1">
        <v>8.3000000000000004E-2</v>
      </c>
      <c r="AE28" s="1">
        <v>8.3000000000000004E-2</v>
      </c>
      <c r="AF28" s="1">
        <v>8.3000000000000004E-2</v>
      </c>
      <c r="AG28" s="1">
        <v>8.3000000000000004E-2</v>
      </c>
      <c r="AH28" s="1">
        <v>8.3000000000000004E-2</v>
      </c>
      <c r="AI28" s="1">
        <v>8.3000000000000004E-2</v>
      </c>
      <c r="AJ28" s="1">
        <v>8.3000000000000004E-2</v>
      </c>
      <c r="AK28" s="1">
        <v>8.3000000000000004E-2</v>
      </c>
      <c r="AL28" s="1">
        <v>8.3000000000000004E-2</v>
      </c>
      <c r="AM28" s="1">
        <v>8.3000000000000004E-2</v>
      </c>
      <c r="AN28" s="1">
        <v>8.3000000000000004E-2</v>
      </c>
      <c r="AO28" s="1">
        <v>8.3000000000000004E-2</v>
      </c>
      <c r="AP28" s="1">
        <v>8.3000000000000004E-2</v>
      </c>
      <c r="AQ28" s="1">
        <v>8.3000000000000004E-2</v>
      </c>
      <c r="AR28" s="1">
        <v>8.3000000000000004E-2</v>
      </c>
      <c r="AS28" s="1">
        <v>8.3000000000000004E-2</v>
      </c>
      <c r="AT28" s="1">
        <v>8.3000000000000004E-2</v>
      </c>
      <c r="AU28" s="1">
        <v>8.3000000000000004E-2</v>
      </c>
      <c r="AV28" s="1">
        <v>8.3000000000000004E-2</v>
      </c>
      <c r="AW28" s="1">
        <v>8.3000000000000004E-2</v>
      </c>
      <c r="AX28" s="1">
        <v>8.3000000000000004E-2</v>
      </c>
      <c r="AY28" s="1">
        <v>8.3000000000000004E-2</v>
      </c>
      <c r="AZ28" s="1">
        <v>8.3000000000000004E-2</v>
      </c>
      <c r="BA28" s="38">
        <v>8.3000000000000004E-2</v>
      </c>
      <c r="BB28" s="58"/>
    </row>
    <row r="29" spans="2:54" x14ac:dyDescent="0.25">
      <c r="B29" s="63"/>
      <c r="C29" s="18" t="s">
        <v>34</v>
      </c>
      <c r="D29" s="21">
        <v>0</v>
      </c>
      <c r="E29" s="6"/>
      <c r="F29" s="6"/>
      <c r="G29" s="6"/>
      <c r="H29" s="58"/>
      <c r="I29" s="6"/>
      <c r="J29" s="63"/>
      <c r="K29" s="6"/>
      <c r="L29" s="6"/>
      <c r="M29" s="6"/>
      <c r="N29" s="6"/>
      <c r="O29" s="6"/>
      <c r="P29" s="18" t="s">
        <v>34</v>
      </c>
      <c r="Q29" s="1">
        <v>31.9998</v>
      </c>
      <c r="R29" s="1">
        <v>731.4</v>
      </c>
      <c r="S29" s="1">
        <v>-181.4</v>
      </c>
      <c r="T29" s="3">
        <f t="shared" si="0"/>
        <v>59.699999999999989</v>
      </c>
      <c r="U29" s="1">
        <v>0.21897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59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38">
        <v>0</v>
      </c>
      <c r="BB29" s="58"/>
    </row>
    <row r="30" spans="2:54" x14ac:dyDescent="0.25">
      <c r="B30" s="63"/>
      <c r="C30" s="18" t="s">
        <v>35</v>
      </c>
      <c r="D30" s="21">
        <v>0</v>
      </c>
      <c r="E30" s="6"/>
      <c r="F30" s="6"/>
      <c r="G30" s="6"/>
      <c r="H30" s="58"/>
      <c r="I30" s="6"/>
      <c r="J30" s="63"/>
      <c r="K30" s="6"/>
      <c r="L30" s="6"/>
      <c r="M30" s="6"/>
      <c r="N30" s="6"/>
      <c r="O30" s="6"/>
      <c r="P30" s="18" t="s">
        <v>35</v>
      </c>
      <c r="Q30" s="1">
        <v>2.0158999999999998</v>
      </c>
      <c r="R30" s="1">
        <v>187.5</v>
      </c>
      <c r="S30" s="1">
        <v>-400.3</v>
      </c>
      <c r="T30" s="3">
        <f t="shared" si="0"/>
        <v>9.6899999999999977</v>
      </c>
      <c r="U30" s="1">
        <v>3.4066000000000001</v>
      </c>
      <c r="V30" s="1">
        <v>274</v>
      </c>
      <c r="W30" s="1">
        <v>324</v>
      </c>
      <c r="X30" s="1">
        <v>0</v>
      </c>
      <c r="Y30" s="1">
        <v>0</v>
      </c>
      <c r="Z30" s="1">
        <v>0</v>
      </c>
      <c r="AA30" s="159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38">
        <v>0</v>
      </c>
      <c r="BB30" s="58"/>
    </row>
    <row r="31" spans="2:54" x14ac:dyDescent="0.25">
      <c r="B31" s="63"/>
      <c r="C31" s="18" t="s">
        <v>36</v>
      </c>
      <c r="D31" s="21">
        <v>0</v>
      </c>
      <c r="E31" s="6"/>
      <c r="F31" s="6"/>
      <c r="G31" s="6"/>
      <c r="H31" s="58"/>
      <c r="I31" s="6"/>
      <c r="J31" s="63"/>
      <c r="K31" s="6"/>
      <c r="L31" s="6"/>
      <c r="M31" s="6"/>
      <c r="N31" s="6"/>
      <c r="O31" s="6"/>
      <c r="P31" s="18" t="s">
        <v>36</v>
      </c>
      <c r="Q31" s="4">
        <v>4.0026000000000002</v>
      </c>
      <c r="R31" s="4">
        <v>32.99</v>
      </c>
      <c r="S31" s="4">
        <v>-450.31</v>
      </c>
      <c r="T31" s="3">
        <f t="shared" si="0"/>
        <v>272.39999999999998</v>
      </c>
      <c r="U31" s="4">
        <v>1.2403999999999999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160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38">
        <v>0</v>
      </c>
      <c r="BB31" s="58"/>
    </row>
    <row r="32" spans="2:54" x14ac:dyDescent="0.25">
      <c r="B32" s="63"/>
      <c r="C32" s="45" t="s">
        <v>37</v>
      </c>
      <c r="D32" s="21">
        <v>0</v>
      </c>
      <c r="E32" s="6"/>
      <c r="F32" s="6"/>
      <c r="G32" s="6"/>
      <c r="H32" s="58"/>
      <c r="I32" s="6"/>
      <c r="J32" s="63"/>
      <c r="K32" s="6"/>
      <c r="L32" s="6"/>
      <c r="M32" s="6"/>
      <c r="N32" s="6"/>
      <c r="O32" s="6"/>
      <c r="P32" s="39" t="s">
        <v>37</v>
      </c>
      <c r="Q32" s="5">
        <v>39.950000000000003</v>
      </c>
      <c r="R32" s="5">
        <v>707</v>
      </c>
      <c r="S32" s="5">
        <v>-187.6</v>
      </c>
      <c r="T32" s="3">
        <f t="shared" si="0"/>
        <v>584.75</v>
      </c>
      <c r="U32" s="5">
        <v>0.125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16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40">
        <v>0</v>
      </c>
      <c r="BB32" s="58"/>
    </row>
    <row r="33" spans="2:54" x14ac:dyDescent="0.25">
      <c r="B33" s="63"/>
      <c r="C33" s="45" t="s">
        <v>38</v>
      </c>
      <c r="D33" s="21">
        <v>0</v>
      </c>
      <c r="E33" s="6"/>
      <c r="F33" s="6"/>
      <c r="G33" s="6"/>
      <c r="H33" s="58"/>
      <c r="I33" s="6"/>
      <c r="J33" s="63"/>
      <c r="K33" s="6"/>
      <c r="L33" s="6"/>
      <c r="M33" s="6"/>
      <c r="N33" s="6"/>
      <c r="O33" s="6"/>
      <c r="P33" s="39" t="s">
        <v>38</v>
      </c>
      <c r="Q33" s="5">
        <v>34.082000000000001</v>
      </c>
      <c r="R33" s="5">
        <v>1306</v>
      </c>
      <c r="S33" s="5">
        <v>124.75</v>
      </c>
      <c r="T33" s="3">
        <f t="shared" si="0"/>
        <v>1165.0999999999999</v>
      </c>
      <c r="U33" s="5">
        <v>0.23838000000000001</v>
      </c>
      <c r="V33" s="5">
        <v>587</v>
      </c>
      <c r="W33" s="5">
        <v>637</v>
      </c>
      <c r="X33" s="5">
        <v>0</v>
      </c>
      <c r="Y33" s="5">
        <v>0</v>
      </c>
      <c r="Z33" s="5">
        <v>0</v>
      </c>
      <c r="AA33" s="16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40">
        <v>0</v>
      </c>
      <c r="BB33" s="58"/>
    </row>
    <row r="34" spans="2:54" ht="15.75" thickBot="1" x14ac:dyDescent="0.3">
      <c r="B34" s="63"/>
      <c r="C34" s="46" t="s">
        <v>39</v>
      </c>
      <c r="D34" s="23">
        <v>0</v>
      </c>
      <c r="E34" s="6"/>
      <c r="F34" s="6"/>
      <c r="G34" s="6"/>
      <c r="H34" s="58"/>
      <c r="I34" s="6"/>
      <c r="J34" s="63"/>
      <c r="K34" s="6"/>
      <c r="L34" s="6"/>
      <c r="M34" s="6"/>
      <c r="N34" s="6"/>
      <c r="O34" s="6"/>
      <c r="P34" s="41" t="s">
        <v>39</v>
      </c>
      <c r="Q34" s="42">
        <v>18.0153</v>
      </c>
      <c r="R34" s="42">
        <v>3200.1</v>
      </c>
      <c r="S34" s="42">
        <v>705.1</v>
      </c>
      <c r="T34" s="43">
        <f>O35+460</f>
        <v>460</v>
      </c>
      <c r="U34" s="42">
        <v>0.44468999999999997</v>
      </c>
      <c r="V34" s="42">
        <v>0</v>
      </c>
      <c r="W34" s="42">
        <v>0</v>
      </c>
      <c r="X34" s="42">
        <v>0</v>
      </c>
      <c r="Y34" s="42">
        <v>0</v>
      </c>
      <c r="Z34" s="42">
        <v>0</v>
      </c>
      <c r="AA34" s="162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</v>
      </c>
      <c r="AH34" s="25">
        <v>0</v>
      </c>
      <c r="AI34" s="25">
        <v>0</v>
      </c>
      <c r="AJ34" s="25">
        <v>0</v>
      </c>
      <c r="AK34" s="25">
        <v>0</v>
      </c>
      <c r="AL34" s="25">
        <v>0</v>
      </c>
      <c r="AM34" s="25">
        <v>0</v>
      </c>
      <c r="AN34" s="25">
        <v>0</v>
      </c>
      <c r="AO34" s="25">
        <v>0</v>
      </c>
      <c r="AP34" s="25">
        <v>0</v>
      </c>
      <c r="AQ34" s="25">
        <v>0</v>
      </c>
      <c r="AR34" s="25">
        <v>0</v>
      </c>
      <c r="AS34" s="25">
        <v>0</v>
      </c>
      <c r="AT34" s="25">
        <v>0</v>
      </c>
      <c r="AU34" s="25">
        <v>0</v>
      </c>
      <c r="AV34" s="25">
        <v>0</v>
      </c>
      <c r="AW34" s="25">
        <v>0</v>
      </c>
      <c r="AX34" s="25">
        <v>0</v>
      </c>
      <c r="AY34" s="25">
        <v>0</v>
      </c>
      <c r="AZ34" s="25">
        <v>0</v>
      </c>
      <c r="BA34" s="16">
        <v>0</v>
      </c>
      <c r="BB34" s="58"/>
    </row>
    <row r="35" spans="2:54" ht="16.5" thickTop="1" thickBot="1" x14ac:dyDescent="0.3">
      <c r="B35" s="64"/>
      <c r="C35" s="59"/>
      <c r="D35" s="59"/>
      <c r="E35" s="59"/>
      <c r="F35" s="59"/>
      <c r="G35" s="59"/>
      <c r="H35" s="60"/>
      <c r="I35" s="6"/>
      <c r="J35" s="63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58"/>
    </row>
    <row r="36" spans="2:54" ht="15.75" thickTop="1" x14ac:dyDescent="0.25">
      <c r="B36" s="6"/>
      <c r="E36" s="6"/>
      <c r="F36" s="6"/>
      <c r="G36" s="6"/>
      <c r="H36" s="6"/>
      <c r="I36" s="6"/>
      <c r="J36" s="63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58"/>
    </row>
    <row r="37" spans="2:54" x14ac:dyDescent="0.25">
      <c r="B37" s="6"/>
      <c r="E37" s="6"/>
      <c r="F37" s="6"/>
      <c r="G37" s="6"/>
      <c r="H37" s="6"/>
      <c r="I37" s="6"/>
      <c r="J37" s="63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58"/>
    </row>
    <row r="38" spans="2:54" x14ac:dyDescent="0.25">
      <c r="B38" s="6"/>
      <c r="E38" s="6"/>
      <c r="F38" s="6"/>
      <c r="G38" s="6"/>
      <c r="H38" s="6"/>
      <c r="I38" s="6"/>
      <c r="J38" s="63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58"/>
    </row>
    <row r="39" spans="2:54" x14ac:dyDescent="0.25">
      <c r="B39" s="6"/>
      <c r="E39" s="6"/>
      <c r="F39" s="6"/>
      <c r="G39" s="6"/>
      <c r="H39" s="6"/>
      <c r="I39" s="6"/>
      <c r="J39" s="63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58"/>
    </row>
    <row r="40" spans="2:54" ht="15.75" thickBot="1" x14ac:dyDescent="0.3">
      <c r="B40" s="6"/>
      <c r="E40" s="6"/>
      <c r="F40" s="6"/>
      <c r="G40" s="6"/>
      <c r="H40" s="6"/>
      <c r="I40" s="6"/>
      <c r="J40" s="63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58"/>
    </row>
    <row r="41" spans="2:54" ht="41.25" customHeight="1" thickTop="1" x14ac:dyDescent="0.25">
      <c r="B41" s="6"/>
      <c r="E41" s="6"/>
      <c r="F41" s="6"/>
      <c r="G41" s="6"/>
      <c r="H41" s="6"/>
      <c r="I41" s="6"/>
      <c r="J41" s="63"/>
      <c r="K41" s="166" t="s">
        <v>183</v>
      </c>
      <c r="L41" s="164" t="s">
        <v>154</v>
      </c>
      <c r="M41" s="165" t="s">
        <v>189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58"/>
    </row>
    <row r="42" spans="2:54" x14ac:dyDescent="0.25">
      <c r="B42" s="6"/>
      <c r="E42" s="6"/>
      <c r="F42" s="6"/>
      <c r="G42" s="6"/>
      <c r="H42" s="6"/>
      <c r="I42" s="6"/>
      <c r="J42" s="63"/>
      <c r="K42" s="18" t="s">
        <v>184</v>
      </c>
      <c r="L42" s="1">
        <v>300</v>
      </c>
      <c r="M42" s="21">
        <v>2.2530980097634247E-2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58"/>
    </row>
    <row r="43" spans="2:54" x14ac:dyDescent="0.25">
      <c r="B43" s="6"/>
      <c r="E43" s="6"/>
      <c r="F43" s="6"/>
      <c r="G43" s="6"/>
      <c r="H43" s="6"/>
      <c r="I43" s="6"/>
      <c r="J43" s="63"/>
      <c r="K43" s="18" t="s">
        <v>185</v>
      </c>
      <c r="L43" s="1">
        <v>75</v>
      </c>
      <c r="M43" s="21">
        <v>5.6327450244085617E-3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58"/>
    </row>
    <row r="44" spans="2:54" x14ac:dyDescent="0.25">
      <c r="B44" s="6"/>
      <c r="E44" s="6"/>
      <c r="F44" s="6"/>
      <c r="G44" s="6"/>
      <c r="H44" s="6"/>
      <c r="I44" s="6"/>
      <c r="J44" s="63"/>
      <c r="K44" s="18" t="s">
        <v>186</v>
      </c>
      <c r="L44" s="1">
        <v>90</v>
      </c>
      <c r="M44" s="21">
        <v>6.7592940292902741E-3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58"/>
    </row>
    <row r="45" spans="2:54" x14ac:dyDescent="0.25">
      <c r="B45" s="6"/>
      <c r="C45" s="6"/>
      <c r="D45" s="6"/>
      <c r="E45" s="6"/>
      <c r="F45" s="6"/>
      <c r="G45" s="6"/>
      <c r="H45" s="6"/>
      <c r="I45" s="6"/>
      <c r="J45" s="63"/>
      <c r="K45" s="18" t="s">
        <v>187</v>
      </c>
      <c r="L45" s="1">
        <v>100</v>
      </c>
      <c r="M45" s="21">
        <v>7.5103266992114157E-3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58"/>
    </row>
    <row r="46" spans="2:54" x14ac:dyDescent="0.25">
      <c r="B46" s="6"/>
      <c r="C46" s="6"/>
      <c r="D46" s="6"/>
      <c r="E46" s="6"/>
      <c r="F46" s="6"/>
      <c r="G46" s="6"/>
      <c r="H46" s="6"/>
      <c r="I46" s="6"/>
      <c r="J46" s="63"/>
      <c r="K46" s="67" t="s">
        <v>194</v>
      </c>
      <c r="L46" s="7">
        <v>300</v>
      </c>
      <c r="M46" s="68">
        <v>2.2530980097634247E-2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58"/>
    </row>
    <row r="47" spans="2:54" x14ac:dyDescent="0.25">
      <c r="B47" s="6"/>
      <c r="C47" s="6"/>
      <c r="D47" s="6"/>
      <c r="E47" s="6"/>
      <c r="F47" s="6"/>
      <c r="G47" s="6"/>
      <c r="H47" s="6"/>
      <c r="I47" s="6"/>
      <c r="J47" s="63"/>
      <c r="K47" s="67" t="s">
        <v>195</v>
      </c>
      <c r="L47" s="7">
        <v>500</v>
      </c>
      <c r="M47" s="68">
        <v>3.7551633496057078E-2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58"/>
    </row>
    <row r="48" spans="2:54" x14ac:dyDescent="0.25">
      <c r="B48" s="6"/>
      <c r="C48" s="6"/>
      <c r="D48" s="6"/>
      <c r="E48" s="6"/>
      <c r="F48" s="6"/>
      <c r="G48" s="6"/>
      <c r="H48" s="6"/>
      <c r="I48" s="6"/>
      <c r="J48" s="63"/>
      <c r="K48" s="67" t="s">
        <v>197</v>
      </c>
      <c r="L48" s="7">
        <v>500</v>
      </c>
      <c r="M48" s="68">
        <v>3.7551633496057078E-2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58"/>
    </row>
    <row r="49" spans="2:54" x14ac:dyDescent="0.25">
      <c r="B49" s="6"/>
      <c r="C49" s="6"/>
      <c r="D49" s="6"/>
      <c r="E49" s="6"/>
      <c r="F49" s="6"/>
      <c r="G49" s="6"/>
      <c r="H49" s="6"/>
      <c r="I49" s="6"/>
      <c r="J49" s="63"/>
      <c r="K49" s="67" t="s">
        <v>198</v>
      </c>
      <c r="L49" s="7">
        <v>500</v>
      </c>
      <c r="M49" s="68">
        <v>3.7551633496057078E-2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58"/>
    </row>
    <row r="50" spans="2:54" x14ac:dyDescent="0.25">
      <c r="B50" s="6"/>
      <c r="C50" s="6"/>
      <c r="D50" s="6"/>
      <c r="E50" s="6"/>
      <c r="F50" s="6"/>
      <c r="G50" s="6"/>
      <c r="H50" s="6"/>
      <c r="I50" s="6"/>
      <c r="J50" s="63"/>
      <c r="K50" s="67" t="s">
        <v>199</v>
      </c>
      <c r="L50" s="7">
        <v>500</v>
      </c>
      <c r="M50" s="68">
        <v>3.7551633496057078E-2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58"/>
    </row>
    <row r="51" spans="2:54" x14ac:dyDescent="0.25">
      <c r="B51" s="6"/>
      <c r="C51" s="6"/>
      <c r="D51" s="6"/>
      <c r="E51" s="6"/>
      <c r="F51" s="6"/>
      <c r="G51" s="6"/>
      <c r="H51" s="6"/>
      <c r="I51" s="6"/>
      <c r="J51" s="63"/>
      <c r="K51" s="67" t="s">
        <v>200</v>
      </c>
      <c r="L51" s="7">
        <v>500</v>
      </c>
      <c r="M51" s="68">
        <v>3.7551633496057078E-2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58"/>
    </row>
    <row r="52" spans="2:54" x14ac:dyDescent="0.25">
      <c r="B52" s="6"/>
      <c r="C52" s="6"/>
      <c r="D52" s="6"/>
      <c r="E52" s="6"/>
      <c r="F52" s="6"/>
      <c r="G52" s="6"/>
      <c r="H52" s="6"/>
      <c r="I52" s="6"/>
      <c r="J52" s="63"/>
      <c r="K52" s="67" t="s">
        <v>201</v>
      </c>
      <c r="L52" s="7">
        <v>500</v>
      </c>
      <c r="M52" s="68">
        <v>3.7551633496057078E-2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58"/>
    </row>
    <row r="53" spans="2:54" x14ac:dyDescent="0.25">
      <c r="B53" s="6"/>
      <c r="C53" s="6"/>
      <c r="D53" s="6"/>
      <c r="E53" s="6"/>
      <c r="F53" s="6"/>
      <c r="G53" s="6"/>
      <c r="H53" s="6"/>
      <c r="I53" s="6"/>
      <c r="J53" s="63"/>
      <c r="K53" s="67" t="s">
        <v>202</v>
      </c>
      <c r="L53" s="7">
        <v>500</v>
      </c>
      <c r="M53" s="68">
        <v>3.7551633496057078E-2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58"/>
    </row>
    <row r="54" spans="2:54" x14ac:dyDescent="0.25">
      <c r="B54" s="6"/>
      <c r="C54" s="6"/>
      <c r="D54" s="6"/>
      <c r="E54" s="6"/>
      <c r="F54" s="6"/>
      <c r="G54" s="6"/>
      <c r="H54" s="6"/>
      <c r="I54" s="6"/>
      <c r="J54" s="63"/>
      <c r="K54" s="67" t="s">
        <v>203</v>
      </c>
      <c r="L54" s="7">
        <v>500</v>
      </c>
      <c r="M54" s="68">
        <v>3.7551633496057078E-2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58"/>
    </row>
    <row r="55" spans="2:54" x14ac:dyDescent="0.25">
      <c r="B55" s="6"/>
      <c r="C55" s="6"/>
      <c r="D55" s="6"/>
      <c r="E55" s="6"/>
      <c r="F55" s="6"/>
      <c r="G55" s="6"/>
      <c r="H55" s="6"/>
      <c r="I55" s="6"/>
      <c r="J55" s="63"/>
      <c r="K55" s="67" t="s">
        <v>204</v>
      </c>
      <c r="L55" s="7">
        <v>500</v>
      </c>
      <c r="M55" s="68">
        <v>3.7551633496057078E-2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58"/>
    </row>
    <row r="56" spans="2:54" x14ac:dyDescent="0.25">
      <c r="B56" s="6"/>
      <c r="C56" s="6"/>
      <c r="D56" s="6"/>
      <c r="E56" s="6"/>
      <c r="F56" s="6"/>
      <c r="G56" s="6"/>
      <c r="H56" s="6"/>
      <c r="I56" s="6"/>
      <c r="J56" s="63"/>
      <c r="K56" s="67" t="s">
        <v>205</v>
      </c>
      <c r="L56" s="7">
        <v>500</v>
      </c>
      <c r="M56" s="68">
        <v>3.7551633496057078E-2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58"/>
    </row>
    <row r="57" spans="2:54" x14ac:dyDescent="0.25">
      <c r="B57" s="6"/>
      <c r="C57" s="6"/>
      <c r="D57" s="6"/>
      <c r="E57" s="6"/>
      <c r="F57" s="6"/>
      <c r="G57" s="6"/>
      <c r="H57" s="6"/>
      <c r="I57" s="6"/>
      <c r="J57" s="63"/>
      <c r="K57" s="67" t="s">
        <v>206</v>
      </c>
      <c r="L57" s="7">
        <v>500</v>
      </c>
      <c r="M57" s="68">
        <v>3.7551633496057078E-2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58"/>
    </row>
    <row r="58" spans="2:54" x14ac:dyDescent="0.25">
      <c r="B58" s="6"/>
      <c r="C58" s="6"/>
      <c r="D58" s="6"/>
      <c r="E58" s="6"/>
      <c r="F58" s="6"/>
      <c r="G58" s="6"/>
      <c r="H58" s="6"/>
      <c r="I58" s="6"/>
      <c r="J58" s="63"/>
      <c r="K58" s="67" t="s">
        <v>207</v>
      </c>
      <c r="L58" s="7">
        <v>500</v>
      </c>
      <c r="M58" s="68">
        <v>3.7551633496057078E-2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58"/>
    </row>
    <row r="59" spans="2:54" x14ac:dyDescent="0.25">
      <c r="B59" s="6"/>
      <c r="C59" s="6"/>
      <c r="D59" s="6"/>
      <c r="E59" s="6"/>
      <c r="F59" s="6"/>
      <c r="G59" s="6"/>
      <c r="H59" s="6"/>
      <c r="I59" s="6"/>
      <c r="J59" s="63"/>
      <c r="K59" s="67" t="s">
        <v>208</v>
      </c>
      <c r="L59" s="7">
        <v>450</v>
      </c>
      <c r="M59" s="68">
        <v>3.3796470146451374E-2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58"/>
    </row>
    <row r="60" spans="2:54" x14ac:dyDescent="0.25">
      <c r="B60" s="6"/>
      <c r="C60" s="6"/>
      <c r="D60" s="6"/>
      <c r="E60" s="6"/>
      <c r="F60" s="6"/>
      <c r="G60" s="6"/>
      <c r="H60" s="6"/>
      <c r="I60" s="6"/>
      <c r="J60" s="63"/>
      <c r="K60" s="67" t="s">
        <v>209</v>
      </c>
      <c r="L60" s="7">
        <v>500</v>
      </c>
      <c r="M60" s="68">
        <v>3.7551633496057078E-2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58"/>
    </row>
    <row r="61" spans="2:54" x14ac:dyDescent="0.25">
      <c r="B61" s="6"/>
      <c r="C61" s="6"/>
      <c r="D61" s="6"/>
      <c r="E61" s="6"/>
      <c r="F61" s="6"/>
      <c r="G61" s="6"/>
      <c r="H61" s="6"/>
      <c r="I61" s="6"/>
      <c r="J61" s="63"/>
      <c r="K61" s="67" t="s">
        <v>210</v>
      </c>
      <c r="L61" s="7">
        <v>500</v>
      </c>
      <c r="M61" s="68">
        <v>3.7551633496057078E-2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58"/>
    </row>
    <row r="62" spans="2:54" x14ac:dyDescent="0.25">
      <c r="B62" s="6"/>
      <c r="C62" s="6"/>
      <c r="D62" s="6"/>
      <c r="E62" s="6"/>
      <c r="F62" s="6"/>
      <c r="G62" s="6"/>
      <c r="H62" s="6"/>
      <c r="I62" s="6"/>
      <c r="J62" s="63"/>
      <c r="K62" s="67" t="s">
        <v>211</v>
      </c>
      <c r="L62" s="7">
        <v>500</v>
      </c>
      <c r="M62" s="68">
        <v>3.7551633496057078E-2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58"/>
    </row>
    <row r="63" spans="2:54" x14ac:dyDescent="0.25">
      <c r="B63" s="6"/>
      <c r="C63" s="6"/>
      <c r="D63" s="6"/>
      <c r="E63" s="6"/>
      <c r="F63" s="6"/>
      <c r="G63" s="6"/>
      <c r="H63" s="6"/>
      <c r="I63" s="6"/>
      <c r="J63" s="63"/>
      <c r="K63" s="67" t="s">
        <v>212</v>
      </c>
      <c r="L63" s="7">
        <v>500</v>
      </c>
      <c r="M63" s="68">
        <v>3.7551633496057078E-2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58"/>
    </row>
    <row r="64" spans="2:54" x14ac:dyDescent="0.25">
      <c r="B64" s="6"/>
      <c r="C64" s="6"/>
      <c r="D64" s="6"/>
      <c r="E64" s="6"/>
      <c r="F64" s="6"/>
      <c r="G64" s="6"/>
      <c r="H64" s="6"/>
      <c r="I64" s="6"/>
      <c r="J64" s="63"/>
      <c r="K64" s="67" t="s">
        <v>213</v>
      </c>
      <c r="L64" s="7">
        <v>500</v>
      </c>
      <c r="M64" s="68">
        <v>3.7551633496057078E-2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58"/>
    </row>
    <row r="65" spans="2:54" x14ac:dyDescent="0.25">
      <c r="B65" s="6"/>
      <c r="C65" s="6"/>
      <c r="D65" s="6"/>
      <c r="E65" s="6"/>
      <c r="F65" s="6"/>
      <c r="G65" s="6"/>
      <c r="H65" s="6"/>
      <c r="I65" s="6"/>
      <c r="J65" s="63"/>
      <c r="K65" s="67" t="s">
        <v>214</v>
      </c>
      <c r="L65" s="7">
        <v>500</v>
      </c>
      <c r="M65" s="68">
        <v>3.7551633496057078E-2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58"/>
    </row>
    <row r="66" spans="2:54" x14ac:dyDescent="0.25">
      <c r="B66" s="6"/>
      <c r="C66" s="6"/>
      <c r="D66" s="6"/>
      <c r="E66" s="6"/>
      <c r="F66" s="6"/>
      <c r="G66" s="6"/>
      <c r="H66" s="6"/>
      <c r="I66" s="6"/>
      <c r="J66" s="63"/>
      <c r="K66" s="67" t="s">
        <v>215</v>
      </c>
      <c r="L66" s="7">
        <v>500</v>
      </c>
      <c r="M66" s="68">
        <v>3.7551633496057078E-2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58"/>
    </row>
    <row r="67" spans="2:54" x14ac:dyDescent="0.25">
      <c r="B67" s="6"/>
      <c r="C67" s="6"/>
      <c r="D67" s="6"/>
      <c r="E67" s="6"/>
      <c r="F67" s="6"/>
      <c r="G67" s="6"/>
      <c r="H67" s="6"/>
      <c r="I67" s="6"/>
      <c r="J67" s="63"/>
      <c r="K67" s="67" t="s">
        <v>216</v>
      </c>
      <c r="L67" s="7">
        <v>500</v>
      </c>
      <c r="M67" s="68">
        <v>3.7551633496057078E-2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58"/>
    </row>
    <row r="68" spans="2:54" x14ac:dyDescent="0.25">
      <c r="B68" s="6"/>
      <c r="C68" s="6"/>
      <c r="D68" s="6"/>
      <c r="E68" s="6"/>
      <c r="F68" s="6"/>
      <c r="G68" s="6"/>
      <c r="H68" s="6"/>
      <c r="I68" s="6"/>
      <c r="J68" s="63"/>
      <c r="K68" s="67" t="s">
        <v>217</v>
      </c>
      <c r="L68" s="7">
        <v>500</v>
      </c>
      <c r="M68" s="68">
        <v>3.7551633496057078E-2</v>
      </c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58"/>
    </row>
    <row r="69" spans="2:54" x14ac:dyDescent="0.25">
      <c r="B69" s="6"/>
      <c r="C69" s="6"/>
      <c r="D69" s="6"/>
      <c r="E69" s="6"/>
      <c r="F69" s="6"/>
      <c r="G69" s="6"/>
      <c r="H69" s="6"/>
      <c r="I69" s="6"/>
      <c r="J69" s="63"/>
      <c r="K69" s="67" t="s">
        <v>218</v>
      </c>
      <c r="L69" s="7">
        <v>500</v>
      </c>
      <c r="M69" s="68">
        <v>3.7551633496057078E-2</v>
      </c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58"/>
    </row>
    <row r="70" spans="2:54" x14ac:dyDescent="0.25">
      <c r="B70" s="6"/>
      <c r="C70" s="6"/>
      <c r="D70" s="6"/>
      <c r="E70" s="6"/>
      <c r="F70" s="6"/>
      <c r="G70" s="6"/>
      <c r="H70" s="6"/>
      <c r="I70" s="6"/>
      <c r="J70" s="63"/>
      <c r="K70" s="67" t="s">
        <v>219</v>
      </c>
      <c r="L70" s="7">
        <v>500</v>
      </c>
      <c r="M70" s="68">
        <v>3.7551633496057078E-2</v>
      </c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58"/>
    </row>
    <row r="71" spans="2:54" x14ac:dyDescent="0.25">
      <c r="B71" s="6"/>
      <c r="C71" s="6"/>
      <c r="D71" s="6"/>
      <c r="E71" s="6"/>
      <c r="F71" s="6"/>
      <c r="G71" s="6"/>
      <c r="H71" s="6"/>
      <c r="I71" s="6"/>
      <c r="J71" s="63"/>
      <c r="K71" s="67" t="s">
        <v>220</v>
      </c>
      <c r="L71" s="7">
        <v>500</v>
      </c>
      <c r="M71" s="68">
        <v>3.7551633496057078E-2</v>
      </c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58"/>
    </row>
    <row r="72" spans="2:54" ht="21" customHeight="1" thickBot="1" x14ac:dyDescent="0.3">
      <c r="J72" s="63"/>
      <c r="K72" s="46" t="s">
        <v>190</v>
      </c>
      <c r="L72" s="25">
        <v>13315</v>
      </c>
      <c r="M72" s="23">
        <v>1</v>
      </c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58"/>
    </row>
    <row r="73" spans="2:54" ht="15.75" thickTop="1" x14ac:dyDescent="0.25">
      <c r="J73" s="63"/>
      <c r="K73" s="6"/>
      <c r="L73" s="6"/>
      <c r="M73" s="6"/>
      <c r="N73" s="6"/>
      <c r="O73" s="6"/>
      <c r="P73" s="31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58"/>
    </row>
    <row r="74" spans="2:54" ht="15.75" thickBot="1" x14ac:dyDescent="0.3">
      <c r="J74" s="64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60"/>
    </row>
    <row r="75" spans="2:54" ht="15.75" thickTop="1" x14ac:dyDescent="0.25"/>
    <row r="84" spans="90:91" x14ac:dyDescent="0.25">
      <c r="CL84">
        <v>4</v>
      </c>
    </row>
    <row r="85" spans="90:91" x14ac:dyDescent="0.25">
      <c r="CM85">
        <v>6</v>
      </c>
    </row>
  </sheetData>
  <mergeCells count="38">
    <mergeCell ref="C3:D3"/>
    <mergeCell ref="R12:T12"/>
    <mergeCell ref="U12:U13"/>
    <mergeCell ref="V12:W12"/>
    <mergeCell ref="P12:P13"/>
    <mergeCell ref="Q12:Q13"/>
    <mergeCell ref="J11:BB11"/>
    <mergeCell ref="Y12:Y13"/>
    <mergeCell ref="X12:X13"/>
    <mergeCell ref="Z12:Z13"/>
    <mergeCell ref="AA12:AA13"/>
    <mergeCell ref="B12:H12"/>
    <mergeCell ref="AB12:AB13"/>
    <mergeCell ref="BA12:BA13"/>
    <mergeCell ref="AC12:A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X12:AX13"/>
    <mergeCell ref="AY12:AY13"/>
    <mergeCell ref="AZ12:AZ13"/>
    <mergeCell ref="AS12:AS13"/>
    <mergeCell ref="AT12:AT13"/>
    <mergeCell ref="AU12:AU13"/>
    <mergeCell ref="AV12:AV13"/>
    <mergeCell ref="AW12:AW1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lending">
                <anchor moveWithCells="1" sizeWithCells="1">
                  <from>
                    <xdr:col>5</xdr:col>
                    <xdr:colOff>1809750</xdr:colOff>
                    <xdr:row>8</xdr:row>
                    <xdr:rowOff>266700</xdr:rowOff>
                  </from>
                  <to>
                    <xdr:col>7</xdr:col>
                    <xdr:colOff>76200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Volume_Fractions">
                <anchor moveWithCells="1" sizeWithCells="1">
                  <from>
                    <xdr:col>9</xdr:col>
                    <xdr:colOff>1076325</xdr:colOff>
                    <xdr:row>35</xdr:row>
                    <xdr:rowOff>161925</xdr:rowOff>
                  </from>
                  <to>
                    <xdr:col>11</xdr:col>
                    <xdr:colOff>209550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Cal-Gas Properties Source</vt:lpstr>
      <vt:lpstr>Cal-Pipeline Requirements</vt:lpstr>
      <vt:lpstr>Cal-Compressor Requirements</vt:lpstr>
      <vt:lpstr>Cal-Blending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Oluwafemi Oyedokun</dc:creator>
  <cp:lastModifiedBy>User</cp:lastModifiedBy>
  <dcterms:created xsi:type="dcterms:W3CDTF">2017-06-09T20:11:36Z</dcterms:created>
  <dcterms:modified xsi:type="dcterms:W3CDTF">2019-12-21T04:05:12Z</dcterms:modified>
</cp:coreProperties>
</file>